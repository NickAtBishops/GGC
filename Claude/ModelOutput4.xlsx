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Extraction Check" sheetId="1" state="visible" r:id="rId1"/>
    <sheet xmlns:r="http://schemas.openxmlformats.org/officeDocument/2006/relationships" name="Miscellaneous" sheetId="2" state="visible" r:id="rId2"/>
    <sheet xmlns:r="http://schemas.openxmlformats.org/officeDocument/2006/relationships" name="Comps Analysis" sheetId="3" state="visible" r:id="rId3"/>
    <sheet xmlns:r="http://schemas.openxmlformats.org/officeDocument/2006/relationships" name="Data Consolidation" sheetId="4" state="visible" r:id="rId4"/>
    <sheet xmlns:r="http://schemas.openxmlformats.org/officeDocument/2006/relationships" name="Collections" sheetId="5" state="visible" r:id="rId5"/>
    <sheet xmlns:r="http://schemas.openxmlformats.org/officeDocument/2006/relationships" name="Rent Roll Input" sheetId="6" state="visible" r:id="rId6"/>
    <sheet xmlns:r="http://schemas.openxmlformats.org/officeDocument/2006/relationships" name="Unit Mix Rent Growth" sheetId="7" state="visible" r:id="rId7"/>
    <sheet xmlns:r="http://schemas.openxmlformats.org/officeDocument/2006/relationships" name="Unit Mix Summary" sheetId="8" state="visible" r:id="rId8"/>
    <sheet xmlns:r="http://schemas.openxmlformats.org/officeDocument/2006/relationships" name="GGC Underwriting" sheetId="9" state="visible" r:id="rId9"/>
    <sheet xmlns:r="http://schemas.openxmlformats.org/officeDocument/2006/relationships" name="GGC Pro Forma" sheetId="10" state="hidden" r:id="rId10"/>
    <sheet xmlns:r="http://schemas.openxmlformats.org/officeDocument/2006/relationships" name="GGC Pro Forma (Conversion)" sheetId="11" state="visible" r:id="rId11"/>
    <sheet xmlns:r="http://schemas.openxmlformats.org/officeDocument/2006/relationships" name="Investor Return" sheetId="12" state="visible" r:id="rId12"/>
    <sheet xmlns:r="http://schemas.openxmlformats.org/officeDocument/2006/relationships" name="Waterfall (10-yr-S1)" sheetId="13" state="hidden" r:id="rId13"/>
    <sheet xmlns:r="http://schemas.openxmlformats.org/officeDocument/2006/relationships" name="Waterfall (5-yr-S1)" sheetId="14" state="hidden" r:id="rId14"/>
    <sheet xmlns:r="http://schemas.openxmlformats.org/officeDocument/2006/relationships" name="Sources and Uses" sheetId="15" state="visible" r:id="rId15"/>
    <sheet xmlns:r="http://schemas.openxmlformats.org/officeDocument/2006/relationships" name="Loan Scenario (acquisition)" sheetId="16" state="visible" r:id="rId16"/>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s>
  <calcPr calcId="191029" fullCalcOnLoad="1"/>
</workbook>
</file>

<file path=xl/styles.xml><?xml version="1.0" encoding="utf-8"?>
<styleSheet xmlns="http://schemas.openxmlformats.org/spreadsheetml/2006/main">
  <numFmts count="27">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s>
  <fonts count="102">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0000FF"/>
      <sz val="14"/>
    </font>
    <font>
      <name val="Arial"/>
      <i val="1"/>
      <color rgb="006B7280"/>
      <sz val="12"/>
    </font>
    <font>
      <name val="Arial"/>
      <b val="1"/>
      <color rgb="00FFFFFF"/>
      <sz val="14"/>
    </font>
    <font>
      <name val="Arial"/>
      <i val="1"/>
      <color rgb="00374151"/>
      <sz val="10"/>
    </font>
    <font>
      <name val="Arial"/>
      <color rgb="00000000"/>
      <sz val="9"/>
    </font>
    <font>
      <name val="Arial"/>
      <color rgb="000000FF"/>
      <sz val="11"/>
    </font>
    <font>
      <name val="Arial"/>
      <b val="1"/>
      <color rgb="00FFFFFF"/>
      <sz val="11"/>
    </font>
    <font>
      <name val="Arial"/>
      <b val="1"/>
      <color rgb="00DC2626"/>
      <sz val="9"/>
    </font>
    <font>
      <name val="Arial"/>
      <b val="1"/>
      <color rgb="00D97706"/>
      <sz val="9"/>
    </font>
    <font>
      <name val="Arial"/>
      <b val="1"/>
      <color rgb="0016A34A"/>
      <sz val="9"/>
    </font>
  </fonts>
  <fills count="60">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FFC7CE"/>
      </patternFill>
    </fill>
    <fill>
      <patternFill patternType="solid">
        <fgColor rgb="00F2F2F2"/>
      </patternFill>
    </fill>
    <fill>
      <patternFill patternType="solid">
        <fgColor rgb="00FFFFFF"/>
      </patternFill>
    </fill>
    <fill>
      <patternFill patternType="solid">
        <fgColor rgb="00FFEB9C"/>
      </patternFill>
    </fill>
    <fill>
      <patternFill patternType="solid">
        <fgColor rgb="00C6EFCE"/>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10">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84" fillId="49" borderId="0" applyAlignment="1" pivotButton="0" quotePrefix="0" xfId="0">
      <alignment horizontal="center" vertical="center"/>
    </xf>
    <xf numFmtId="0" fontId="85" fillId="0" borderId="0" applyAlignment="1" pivotButton="0" quotePrefix="0" xfId="0">
      <alignment horizontal="center" vertical="center"/>
    </xf>
    <xf numFmtId="0" fontId="86" fillId="49" borderId="0" applyAlignment="1" pivotButton="0" quotePrefix="0" xfId="0">
      <alignment horizontal="left" vertical="center"/>
    </xf>
    <xf numFmtId="0" fontId="87" fillId="0" borderId="0" applyAlignment="1" pivotButton="0" quotePrefix="0" xfId="0">
      <alignment horizontal="left" vertical="center"/>
    </xf>
    <xf numFmtId="0" fontId="88" fillId="50" borderId="0" applyAlignment="1" pivotButton="0" quotePrefix="0" xfId="0">
      <alignment horizontal="left" vertical="center" wrapText="1"/>
    </xf>
    <xf numFmtId="0" fontId="98" fillId="53" borderId="0" applyAlignment="1" pivotButton="0" quotePrefix="0" xfId="0">
      <alignment horizontal="center" vertical="center"/>
    </xf>
    <xf numFmtId="0" fontId="90" fillId="51" borderId="0" applyAlignment="1" pivotButton="0" quotePrefix="0" xfId="0">
      <alignment horizontal="center" vertical="center"/>
    </xf>
    <xf numFmtId="0" fontId="96" fillId="0" borderId="0" applyAlignment="1" pivotButton="0" quotePrefix="0" xfId="0">
      <alignment horizontal="left" vertical="center" wrapText="1"/>
    </xf>
    <xf numFmtId="0" fontId="99" fillId="55" borderId="0" applyAlignment="1" pivotButton="0" quotePrefix="0" xfId="0">
      <alignment horizontal="center" vertical="center"/>
    </xf>
    <xf numFmtId="0" fontId="100" fillId="58" borderId="0" applyAlignment="1" pivotButton="0" quotePrefix="0" xfId="0">
      <alignment horizontal="center" vertical="center"/>
    </xf>
    <xf numFmtId="0" fontId="101" fillId="59" borderId="0" applyAlignment="1" pivotButton="0" quotePrefix="0" xfId="0">
      <alignment horizontal="center" vertical="center"/>
    </xf>
    <xf numFmtId="0" fontId="88" fillId="50" borderId="0" applyAlignment="1" pivotButton="0" quotePrefix="0" xfId="0">
      <alignment horizontal="left" vertical="center"/>
    </xf>
    <xf numFmtId="0" fontId="89" fillId="51" borderId="0" applyAlignment="1" pivotButton="0" quotePrefix="0" xfId="0">
      <alignment horizontal="center" vertical="center"/>
    </xf>
    <xf numFmtId="0" fontId="90" fillId="52" borderId="0" applyAlignment="1" pivotButton="0" quotePrefix="0" xfId="0">
      <alignment horizontal="center" vertical="center"/>
    </xf>
    <xf numFmtId="0" fontId="88" fillId="50" borderId="0" applyAlignment="1" pivotButton="0" quotePrefix="0" xfId="0">
      <alignment horizontal="right" vertical="center"/>
    </xf>
    <xf numFmtId="0" fontId="90" fillId="53" borderId="0" applyAlignment="1" pivotButton="0" quotePrefix="0" xfId="0">
      <alignment horizontal="center" vertical="center"/>
    </xf>
    <xf numFmtId="0" fontId="91" fillId="0" borderId="0" applyAlignment="1" pivotButton="0" quotePrefix="0" xfId="0">
      <alignment horizontal="left" vertical="center" wrapText="1"/>
    </xf>
    <xf numFmtId="0" fontId="90" fillId="54" borderId="0" applyAlignment="1" pivotButton="0" quotePrefix="0" xfId="0">
      <alignment horizontal="center" vertical="center"/>
    </xf>
    <xf numFmtId="0" fontId="87" fillId="0" borderId="0" applyAlignment="1" pivotButton="0" quotePrefix="0" xfId="0">
      <alignment horizontal="center" vertical="center"/>
    </xf>
    <xf numFmtId="0" fontId="90" fillId="52" borderId="0" applyAlignment="1" pivotButton="0" quotePrefix="0" xfId="0">
      <alignment horizontal="center" vertical="center" wrapText="1"/>
    </xf>
    <xf numFmtId="10" fontId="92" fillId="50" borderId="0" applyAlignment="1" pivotButton="0" quotePrefix="0" xfId="0">
      <alignment horizontal="center" vertical="center"/>
    </xf>
    <xf numFmtId="0" fontId="92" fillId="50" borderId="0" applyAlignment="1" pivotButton="0" quotePrefix="0" xfId="0">
      <alignment horizontal="center" vertical="center"/>
    </xf>
    <xf numFmtId="0" fontId="93" fillId="0" borderId="0" applyAlignment="1" pivotButton="0" quotePrefix="0" xfId="0">
      <alignment horizontal="center" vertical="center"/>
    </xf>
    <xf numFmtId="0" fontId="94" fillId="53" borderId="0" applyAlignment="1" pivotButton="0" quotePrefix="0" xfId="0">
      <alignment horizontal="center" vertical="center"/>
    </xf>
    <xf numFmtId="0" fontId="95" fillId="0" borderId="0" applyAlignment="1" pivotButton="0" quotePrefix="0" xfId="0">
      <alignment horizontal="left" vertical="top" wrapText="1"/>
    </xf>
    <xf numFmtId="190" fontId="88" fillId="50" borderId="0" applyAlignment="1" pivotButton="0" quotePrefix="0" xfId="0">
      <alignment horizontal="right" vertical="center"/>
    </xf>
    <xf numFmtId="0" fontId="87" fillId="55" borderId="0" applyAlignment="1" pivotButton="0" quotePrefix="0" xfId="0">
      <alignment horizontal="center" vertical="center"/>
    </xf>
    <xf numFmtId="3" fontId="88" fillId="50" borderId="0" applyAlignment="1" pivotButton="0" quotePrefix="0" xfId="0">
      <alignment horizontal="right" vertical="center"/>
    </xf>
    <xf numFmtId="0" fontId="87" fillId="56" borderId="0" applyAlignment="1" pivotButton="0" quotePrefix="0" xfId="0">
      <alignment horizontal="center" vertical="center"/>
    </xf>
    <xf numFmtId="169" fontId="88" fillId="50" borderId="0" applyAlignment="1" pivotButton="0" quotePrefix="0" xfId="0">
      <alignment horizontal="right" vertical="center"/>
    </xf>
    <xf numFmtId="0" fontId="96" fillId="56" borderId="0" applyAlignment="1" pivotButton="0" quotePrefix="0" xfId="0">
      <alignment horizontal="left" vertical="center"/>
    </xf>
    <xf numFmtId="0" fontId="96" fillId="56" borderId="0" applyAlignment="1" pivotButton="0" quotePrefix="0" xfId="0">
      <alignment horizontal="center" vertical="center"/>
    </xf>
    <xf numFmtId="3" fontId="96" fillId="56" borderId="0" applyAlignment="1" pivotButton="0" quotePrefix="0" xfId="0">
      <alignment horizontal="center" vertical="center"/>
    </xf>
    <xf numFmtId="190" fontId="96" fillId="56" borderId="0" applyAlignment="1" pivotButton="0" quotePrefix="0" xfId="0">
      <alignment horizontal="right" vertical="center"/>
    </xf>
    <xf numFmtId="169" fontId="96" fillId="56" borderId="0" applyAlignment="1" pivotButton="0" quotePrefix="0" xfId="0">
      <alignment horizontal="center" vertical="center"/>
    </xf>
    <xf numFmtId="0" fontId="96" fillId="56" borderId="0" applyAlignment="1" pivotButton="0" quotePrefix="0" xfId="0">
      <alignment horizontal="left" vertical="center" wrapText="1"/>
    </xf>
    <xf numFmtId="0" fontId="96" fillId="57" borderId="0" applyAlignment="1" pivotButton="0" quotePrefix="0" xfId="0">
      <alignment horizontal="left" vertical="center"/>
    </xf>
    <xf numFmtId="0" fontId="96" fillId="57" borderId="0" applyAlignment="1" pivotButton="0" quotePrefix="0" xfId="0">
      <alignment horizontal="center" vertical="center"/>
    </xf>
    <xf numFmtId="3" fontId="96" fillId="57" borderId="0" applyAlignment="1" pivotButton="0" quotePrefix="0" xfId="0">
      <alignment horizontal="center" vertical="center"/>
    </xf>
    <xf numFmtId="190" fontId="96" fillId="57" borderId="0" applyAlignment="1" pivotButton="0" quotePrefix="0" xfId="0">
      <alignment horizontal="right" vertical="center"/>
    </xf>
    <xf numFmtId="169" fontId="96" fillId="57" borderId="0" applyAlignment="1" pivotButton="0" quotePrefix="0" xfId="0">
      <alignment horizontal="center" vertical="center"/>
    </xf>
    <xf numFmtId="0" fontId="96" fillId="57" borderId="0" applyAlignment="1" pivotButton="0" quotePrefix="0" xfId="0">
      <alignment horizontal="left" vertical="center" wrapText="1"/>
    </xf>
    <xf numFmtId="0" fontId="89" fillId="51" borderId="0" applyAlignment="1" pivotButton="0" quotePrefix="0" xfId="0">
      <alignment horizontal="left" vertical="center"/>
    </xf>
    <xf numFmtId="0" fontId="91" fillId="51" borderId="0" applyAlignment="1" pivotButton="0" quotePrefix="0" xfId="0">
      <alignment horizontal="left" vertical="center"/>
    </xf>
    <xf numFmtId="0" fontId="89" fillId="51" borderId="0" applyAlignment="1" pivotButton="0" quotePrefix="0" xfId="0">
      <alignment horizontal="right" vertical="center"/>
    </xf>
    <xf numFmtId="0" fontId="97" fillId="50" borderId="0" applyAlignment="1" pivotButton="0" quotePrefix="0" xfId="0">
      <alignment horizontal="left" vertical="top" wrapText="1"/>
    </xf>
    <xf numFmtId="10" fontId="96" fillId="56" borderId="0" applyAlignment="1" pivotButton="0" quotePrefix="0" xfId="0">
      <alignment horizontal="center" vertical="center"/>
    </xf>
    <xf numFmtId="10" fontId="96" fillId="57" borderId="0" applyAlignment="1" pivotButton="0" quotePrefix="0" xfId="0">
      <alignment horizontal="center" vertical="center"/>
    </xf>
    <xf numFmtId="10" fontId="88" fillId="50" borderId="0" applyAlignment="1" pivotButton="0" quotePrefix="0" xfId="0">
      <alignment horizontal="right" vertical="center"/>
    </xf>
    <xf numFmtId="0" fontId="98" fillId="51" borderId="0" applyAlignment="1" pivotButton="0" quotePrefix="0" xfId="0">
      <alignment horizontal="left" vertical="center"/>
    </xf>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34</row>
      <rowOff>0</rowOff>
    </from>
    <ext cx="381000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3810000" cy="266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52</row>
      <rowOff>0</rowOff>
    </from>
    <ext cx="3810000" cy="2667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52</row>
      <rowOff>0</rowOff>
    </from>
    <ext cx="3810000" cy="2667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69</row>
      <rowOff>0</rowOff>
    </from>
    <ext cx="3810000" cy="2667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69</row>
      <rowOff>0</rowOff>
    </from>
    <ext cx="3810000" cy="2667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C2626"/>
    <outlinePr summaryBelow="1" summaryRight="1"/>
    <pageSetUpPr/>
  </sheetPr>
  <dimension ref="B2:F82"/>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960" t="inlineStr">
        <is>
          <t>EXTRACTION CHECK — SOURCE RECONCILIATION</t>
        </is>
      </c>
    </row>
    <row r="3" ht="18" customHeight="1">
      <c r="B3" s="961" t="inlineStr">
        <is>
          <t>What the model pulled from the documents, and whether it ties to the source. Review before trusting the underwriting.</t>
        </is>
      </c>
    </row>
    <row r="5" ht="22" customHeight="1">
      <c r="B5" s="962" t="inlineStr">
        <is>
          <t xml:space="preserve">  REPORTING PERIOD USED</t>
        </is>
      </c>
    </row>
    <row r="6" ht="18" customHeight="1">
      <c r="B6" s="963" t="inlineStr">
        <is>
          <t>Period used</t>
        </is>
      </c>
      <c r="C6" s="964" t="inlineStr">
        <is>
          <t>Monthly recap 11/01/24 - 10/31/25</t>
        </is>
      </c>
    </row>
    <row r="7" ht="18" customHeight="1">
      <c r="B7" s="963" t="inlineStr">
        <is>
          <t>Date range</t>
        </is>
      </c>
      <c r="C7" s="964" t="inlineStr">
        <is>
          <t>Nov 2024 - Oct 2025</t>
        </is>
      </c>
    </row>
    <row r="8" ht="18" customHeight="1">
      <c r="B8" s="963" t="inlineStr">
        <is>
          <t>Months covered</t>
        </is>
      </c>
      <c r="C8" s="964" t="inlineStr">
        <is>
          <t>12</t>
        </is>
      </c>
    </row>
    <row r="9" ht="18" customHeight="1">
      <c r="B9" s="963" t="inlineStr">
        <is>
          <t>Other periods seen in doc</t>
        </is>
      </c>
      <c r="C9" s="964" t="inlineStr">
        <is>
          <t>Monthly recap 11/01/24 - 10/31/25 (accrual basis), PRO FORMA</t>
        </is>
      </c>
    </row>
    <row r="10" ht="18" customHeight="1">
      <c r="B10" s="963" t="inlineStr">
        <is>
          <t>Notes</t>
        </is>
      </c>
      <c r="C10" s="964" t="inlineStr">
        <is>
          <t>The document contains one T12 period (Nov 2024 - Oct 2025) with 12 monthly columns (NOV 24 through OCT 25) plus a PRO FORMA column. The T12 TOTAL column (O) is the operative annual figure. PRO FORMA is a forward-looking projection and was not used.</t>
        </is>
      </c>
    </row>
    <row r="12" ht="22" customHeight="1">
      <c r="B12" s="962" t="inlineStr">
        <is>
          <t xml:space="preserve">  RECONCILIATION CHECKS</t>
        </is>
      </c>
    </row>
    <row r="13" ht="24" customHeight="1">
      <c r="B13" s="965" t="inlineStr">
        <is>
          <t>⚠ 3 FAILED, 2 warnings, 63 passed — review the failures before using these numbers.</t>
        </is>
      </c>
    </row>
    <row r="14" ht="18" customHeight="1">
      <c r="B14" s="966" t="inlineStr">
        <is>
          <t>Item</t>
        </is>
      </c>
      <c r="C14" s="966" t="inlineStr">
        <is>
          <t>Check</t>
        </is>
      </c>
      <c r="D14" s="966" t="inlineStr">
        <is>
          <t>Status</t>
        </is>
      </c>
      <c r="E14" s="966" t="inlineStr">
        <is>
          <t>Detail</t>
        </is>
      </c>
    </row>
    <row r="15" ht="24" customHeight="1">
      <c r="B15" s="967" t="inlineStr">
        <is>
          <t>Rent roll rows vs unit count</t>
        </is>
      </c>
      <c r="C15" s="967" t="inlineStr">
        <is>
          <t>Rent roll long</t>
        </is>
      </c>
      <c r="D15" s="968" t="inlineStr">
        <is>
          <t>✗ FAIL</t>
        </is>
      </c>
      <c r="E15" s="967" t="inlineStr">
        <is>
          <t>127 rows but only 109 units stated — verify unit count or check for non-unit rows.</t>
        </is>
      </c>
    </row>
    <row r="16" ht="24" customHeight="1">
      <c r="B16" s="967" t="inlineStr">
        <is>
          <t>POH count vs rent roll</t>
        </is>
      </c>
      <c r="C16" s="967" t="inlineStr">
        <is>
          <t>User stated 0 POH</t>
        </is>
      </c>
      <c r="D16" s="968" t="inlineStr">
        <is>
          <t>✗ FAIL</t>
        </is>
      </c>
      <c r="E16" s="967" t="inlineStr">
        <is>
          <t>User stated 0 park-owned homes but the rent roll has home rent entries. Use the rent-roll count as authoritative — the user input was wrong.</t>
        </is>
      </c>
    </row>
    <row r="17" ht="24" customHeight="1">
      <c r="B17" s="967" t="inlineStr">
        <is>
          <t>Rent-roll vs income parity: Retail/Commercial</t>
        </is>
      </c>
      <c r="C17" s="967" t="inlineStr">
        <is>
          <t>Expect non-zero 'Retail Income' income</t>
        </is>
      </c>
      <c r="D17" s="968" t="inlineStr">
        <is>
          <t>✗ FAIL</t>
        </is>
      </c>
      <c r="E17" s="967" t="inlineStr">
        <is>
          <t>Rent roll has 2 occupied Retail/Commercial unit(s) but 'Retail Income' income totals $0. The LLM likely collapsed this revenue into another category (most often Gross Potential Rent).</t>
        </is>
      </c>
    </row>
    <row r="18" ht="24" customHeight="1">
      <c r="B18" s="967" t="inlineStr">
        <is>
          <t>Multiple periods in doc</t>
        </is>
      </c>
      <c r="C18" s="967" t="inlineStr">
        <is>
          <t>Picked most recent T12</t>
        </is>
      </c>
      <c r="D18" s="969" t="inlineStr">
        <is>
          <t>⚠ WARN</t>
        </is>
      </c>
      <c r="E18" s="967" t="inlineStr">
        <is>
          <t>Document had 2 period columns: Monthly recap 11/01/24 - 10/31/25 (accrual basis), PRO FORMA. Confirm the right one was used.</t>
        </is>
      </c>
    </row>
    <row r="19" ht="24" customHeight="1">
      <c r="B19" s="967" t="inlineStr">
        <is>
          <t>Methodology schema validation</t>
        </is>
      </c>
      <c r="C19" s="967" t="inlineStr">
        <is>
          <t>Per-line Pydantic check</t>
        </is>
      </c>
      <c r="D19" s="969" t="inlineStr">
        <is>
          <t>⚠ WARN</t>
        </is>
      </c>
      <c r="E19" s="967" t="inlineStr">
        <is>
          <t>expenses[6]: Value error, Repair and Maintenance (5107 Septic + 5108 Plumbing + 5109 Misc + 5110 Equipment + 5111 Electrical + 5200 Park Supplies): monthly sum $9,733.42 != t12Total $10,414.78 (diff $681.36, 6.5%)</t>
        </is>
      </c>
    </row>
    <row r="20" ht="24" customHeight="1">
      <c r="B20" s="967" t="inlineStr">
        <is>
          <t>Reporting period</t>
        </is>
      </c>
      <c r="C20" s="967" t="inlineStr">
        <is>
          <t>T12 (12 months)</t>
        </is>
      </c>
      <c r="D20" s="970" t="inlineStr">
        <is>
          <t>✓ OK</t>
        </is>
      </c>
      <c r="E20" s="967" t="inlineStr">
        <is>
          <t>Monthly recap 11/01/24 - 10/31/25 (Nov 2024 - Oct 2025)</t>
        </is>
      </c>
    </row>
    <row r="21" ht="24" customHeight="1">
      <c r="B21" s="967" t="inlineStr">
        <is>
          <t>Income: 4101 Lot Rent</t>
        </is>
      </c>
      <c r="C21" s="967" t="inlineStr">
        <is>
          <t>Monthlies sum to annual</t>
        </is>
      </c>
      <c r="D21" s="970" t="inlineStr">
        <is>
          <t>✓ OK</t>
        </is>
      </c>
      <c r="E21" s="967" t="inlineStr">
        <is>
          <t>Σmonthly=1,144,604 vs annual=1,144,604</t>
        </is>
      </c>
    </row>
    <row r="22" ht="24" customHeight="1">
      <c r="B22" s="967" t="inlineStr">
        <is>
          <t>Income: 4103 Long Term RV Lot Rent</t>
        </is>
      </c>
      <c r="C22" s="967" t="inlineStr">
        <is>
          <t>Monthlies sum to annual</t>
        </is>
      </c>
      <c r="D22" s="970" t="inlineStr">
        <is>
          <t>✓ OK</t>
        </is>
      </c>
      <c r="E22" s="967" t="inlineStr">
        <is>
          <t>Σmonthly=172,705 vs annual=172,705</t>
        </is>
      </c>
    </row>
    <row r="23" ht="24" customHeight="1">
      <c r="B23" s="967" t="inlineStr">
        <is>
          <t>Income: 4108 Storage Unit Rent</t>
        </is>
      </c>
      <c r="C23" s="967" t="inlineStr">
        <is>
          <t>Monthlies sum to annual</t>
        </is>
      </c>
      <c r="D23" s="970" t="inlineStr">
        <is>
          <t>✓ OK</t>
        </is>
      </c>
      <c r="E23" s="967" t="inlineStr">
        <is>
          <t>Σmonthly=900 vs annual=900</t>
        </is>
      </c>
    </row>
    <row r="24" ht="24" customHeight="1">
      <c r="B24" s="967" t="inlineStr">
        <is>
          <t>Income: 4110 Retail Unit Rent</t>
        </is>
      </c>
      <c r="C24" s="967" t="inlineStr">
        <is>
          <t>Monthlies sum to annual</t>
        </is>
      </c>
      <c r="D24" s="970" t="inlineStr">
        <is>
          <t>✓ OK</t>
        </is>
      </c>
      <c r="E24" s="967" t="inlineStr">
        <is>
          <t>Σmonthly=12,426 vs annual=12,426</t>
        </is>
      </c>
    </row>
    <row r="25" ht="24" customHeight="1">
      <c r="B25" s="967" t="inlineStr">
        <is>
          <t>Income: 4131 Move in Specials</t>
        </is>
      </c>
      <c r="C25" s="967" t="inlineStr">
        <is>
          <t>Monthlies sum to annual</t>
        </is>
      </c>
      <c r="D25" s="970" t="inlineStr">
        <is>
          <t>✓ OK</t>
        </is>
      </c>
      <c r="E25" s="967" t="inlineStr">
        <is>
          <t>Σmonthly=-168 vs annual=-168</t>
        </is>
      </c>
    </row>
    <row r="26" ht="24" customHeight="1">
      <c r="B26" s="967" t="inlineStr">
        <is>
          <t>Income: 4304 Damages</t>
        </is>
      </c>
      <c r="C26" s="967" t="inlineStr">
        <is>
          <t>Monthlies sum to annual</t>
        </is>
      </c>
      <c r="D26" s="970" t="inlineStr">
        <is>
          <t>✓ OK</t>
        </is>
      </c>
      <c r="E26" s="967" t="inlineStr">
        <is>
          <t>Σmonthly=1,251 vs annual=1,251</t>
        </is>
      </c>
    </row>
    <row r="27" ht="24" customHeight="1">
      <c r="B27" s="967" t="inlineStr">
        <is>
          <t>Income: 4402 Water &amp; Sewer</t>
        </is>
      </c>
      <c r="C27" s="967" t="inlineStr">
        <is>
          <t>Monthlies sum to annual</t>
        </is>
      </c>
      <c r="D27" s="970" t="inlineStr">
        <is>
          <t>✓ OK</t>
        </is>
      </c>
      <c r="E27" s="967" t="inlineStr">
        <is>
          <t>Σmonthly=-1,709 vs annual=-1,709</t>
        </is>
      </c>
    </row>
    <row r="28" ht="24" customHeight="1">
      <c r="B28" s="967" t="inlineStr">
        <is>
          <t>Income: 4403 Electric</t>
        </is>
      </c>
      <c r="C28" s="967" t="inlineStr">
        <is>
          <t>Monthlies sum to annual</t>
        </is>
      </c>
      <c r="D28" s="970" t="inlineStr">
        <is>
          <t>✓ OK</t>
        </is>
      </c>
      <c r="E28" s="967" t="inlineStr">
        <is>
          <t>Σmonthly=79,147 vs annual=79,147</t>
        </is>
      </c>
    </row>
    <row r="29" ht="24" customHeight="1">
      <c r="B29" s="967" t="inlineStr">
        <is>
          <t>Income: 4404 Garbage</t>
        </is>
      </c>
      <c r="C29" s="967" t="inlineStr">
        <is>
          <t>Monthlies sum to annual</t>
        </is>
      </c>
      <c r="D29" s="970" t="inlineStr">
        <is>
          <t>✓ OK</t>
        </is>
      </c>
      <c r="E29" s="967" t="inlineStr">
        <is>
          <t>Σmonthly=30 vs annual=30</t>
        </is>
      </c>
    </row>
    <row r="30" ht="24" customHeight="1">
      <c r="B30" s="967" t="inlineStr">
        <is>
          <t>Income: 4905 Recovered Legal/Court Fees</t>
        </is>
      </c>
      <c r="C30" s="967" t="inlineStr">
        <is>
          <t>Monthlies sum to annual</t>
        </is>
      </c>
      <c r="D30" s="970" t="inlineStr">
        <is>
          <t>✓ OK</t>
        </is>
      </c>
      <c r="E30" s="967" t="inlineStr">
        <is>
          <t>Σmonthly=3,184 vs annual=3,184</t>
        </is>
      </c>
    </row>
    <row r="31" ht="24" customHeight="1">
      <c r="B31" s="967" t="inlineStr">
        <is>
          <t>Income: 4907 Violation Fines</t>
        </is>
      </c>
      <c r="C31" s="967" t="inlineStr">
        <is>
          <t>Monthlies sum to annual</t>
        </is>
      </c>
      <c r="D31" s="970" t="inlineStr">
        <is>
          <t>✓ OK</t>
        </is>
      </c>
      <c r="E31" s="967" t="inlineStr">
        <is>
          <t>Σmonthly=50 vs annual=50</t>
        </is>
      </c>
    </row>
    <row r="32" ht="24" customHeight="1">
      <c r="B32" s="967" t="inlineStr">
        <is>
          <t>Income: 4908 Payment Processing Fee</t>
        </is>
      </c>
      <c r="C32" s="967" t="inlineStr">
        <is>
          <t>Monthlies sum to annual</t>
        </is>
      </c>
      <c r="D32" s="970" t="inlineStr">
        <is>
          <t>✓ OK</t>
        </is>
      </c>
      <c r="E32" s="967" t="inlineStr">
        <is>
          <t>Σmonthly=7,160 vs annual=7,160</t>
        </is>
      </c>
    </row>
    <row r="33" ht="24" customHeight="1">
      <c r="B33" s="967" t="inlineStr">
        <is>
          <t>Income: 4909 Cable Revenue Sharing</t>
        </is>
      </c>
      <c r="C33" s="967" t="inlineStr">
        <is>
          <t>Monthlies sum to annual</t>
        </is>
      </c>
      <c r="D33" s="970" t="inlineStr">
        <is>
          <t>✓ OK</t>
        </is>
      </c>
      <c r="E33" s="967" t="inlineStr">
        <is>
          <t>Σmonthly=2,659 vs annual=2,659</t>
        </is>
      </c>
    </row>
    <row r="34" ht="24" customHeight="1">
      <c r="B34" s="967" t="inlineStr">
        <is>
          <t>Income: 4910 Rental Pool Revenue Sharing</t>
        </is>
      </c>
      <c r="C34" s="967" t="inlineStr">
        <is>
          <t>Monthlies sum to annual</t>
        </is>
      </c>
      <c r="D34" s="970" t="inlineStr">
        <is>
          <t>✓ OK</t>
        </is>
      </c>
      <c r="E34" s="967" t="inlineStr">
        <is>
          <t>Σmonthly=22,774 vs annual=22,774</t>
        </is>
      </c>
    </row>
    <row r="35" ht="24" customHeight="1">
      <c r="B35" s="967" t="inlineStr">
        <is>
          <t>Income: 4913 Application Fees</t>
        </is>
      </c>
      <c r="C35" s="967" t="inlineStr">
        <is>
          <t>Monthlies sum to annual</t>
        </is>
      </c>
      <c r="D35" s="970" t="inlineStr">
        <is>
          <t>✓ OK</t>
        </is>
      </c>
      <c r="E35" s="967" t="inlineStr">
        <is>
          <t>Σmonthly=850 vs annual=850</t>
        </is>
      </c>
    </row>
    <row r="36" ht="24" customHeight="1">
      <c r="B36" s="967" t="inlineStr">
        <is>
          <t>Income: 4914 Late Fees</t>
        </is>
      </c>
      <c r="C36" s="967" t="inlineStr">
        <is>
          <t>Monthlies sum to annual</t>
        </is>
      </c>
      <c r="D36" s="970" t="inlineStr">
        <is>
          <t>✓ OK</t>
        </is>
      </c>
      <c r="E36" s="967" t="inlineStr">
        <is>
          <t>Σmonthly=5,524 vs annual=5,524</t>
        </is>
      </c>
    </row>
    <row r="37" ht="24" customHeight="1">
      <c r="B37" s="967" t="inlineStr">
        <is>
          <t>Income: 4915 NSF Fees</t>
        </is>
      </c>
      <c r="C37" s="967" t="inlineStr">
        <is>
          <t>Monthlies sum to annual</t>
        </is>
      </c>
      <c r="D37" s="970" t="inlineStr">
        <is>
          <t>✓ OK</t>
        </is>
      </c>
      <c r="E37" s="967" t="inlineStr">
        <is>
          <t>Σmonthly=375 vs annual=375</t>
        </is>
      </c>
    </row>
    <row r="38" ht="24" customHeight="1">
      <c r="B38" s="967" t="inlineStr">
        <is>
          <t>Expense: 5000 Management Fees Expense</t>
        </is>
      </c>
      <c r="C38" s="967" t="inlineStr">
        <is>
          <t>Monthlies sum to annual</t>
        </is>
      </c>
      <c r="D38" s="970" t="inlineStr">
        <is>
          <t>✓ OK</t>
        </is>
      </c>
      <c r="E38" s="967" t="inlineStr">
        <is>
          <t>Σmonthly=43,800 vs annual=43,800</t>
        </is>
      </c>
    </row>
    <row r="39" ht="24" customHeight="1">
      <c r="B39" s="967" t="inlineStr">
        <is>
          <t>Expense: 5001 Advertising</t>
        </is>
      </c>
      <c r="C39" s="967" t="inlineStr">
        <is>
          <t>Monthlies sum to annual</t>
        </is>
      </c>
      <c r="D39" s="970" t="inlineStr">
        <is>
          <t>✓ OK</t>
        </is>
      </c>
      <c r="E39" s="967" t="inlineStr">
        <is>
          <t>Σmonthly=2,468 vs annual=2,468</t>
        </is>
      </c>
    </row>
    <row r="40" ht="24" customHeight="1">
      <c r="B40" s="967" t="inlineStr">
        <is>
          <t>Expense: 5051 Car Insurance Expense</t>
        </is>
      </c>
      <c r="C40" s="967" t="inlineStr">
        <is>
          <t>Monthlies sum to annual</t>
        </is>
      </c>
      <c r="D40" s="970" t="inlineStr">
        <is>
          <t>✓ OK</t>
        </is>
      </c>
      <c r="E40" s="967" t="inlineStr">
        <is>
          <t>Σmonthly=925 vs annual=925</t>
        </is>
      </c>
    </row>
    <row r="41" ht="24" customHeight="1">
      <c r="B41" s="967" t="inlineStr">
        <is>
          <t>Expense: 5053 Liability Insurance Expense</t>
        </is>
      </c>
      <c r="C41" s="967" t="inlineStr">
        <is>
          <t>Monthlies sum to annual</t>
        </is>
      </c>
      <c r="D41" s="970" t="inlineStr">
        <is>
          <t>✓ OK</t>
        </is>
      </c>
      <c r="E41" s="967" t="inlineStr">
        <is>
          <t>Σmonthly=36,756 vs annual=36,756</t>
        </is>
      </c>
    </row>
    <row r="42" ht="24" customHeight="1">
      <c r="B42" s="967" t="inlineStr">
        <is>
          <t>Expense: 5062 Legal Fees</t>
        </is>
      </c>
      <c r="C42" s="967" t="inlineStr">
        <is>
          <t>Monthlies sum to annual</t>
        </is>
      </c>
      <c r="D42" s="970" t="inlineStr">
        <is>
          <t>✓ OK</t>
        </is>
      </c>
      <c r="E42" s="967" t="inlineStr">
        <is>
          <t>Σmonthly=4,201 vs annual=4,201</t>
        </is>
      </c>
    </row>
    <row r="43" ht="24" customHeight="1">
      <c r="B43" s="967" t="inlineStr">
        <is>
          <t>Expense: 5070 Licenses &amp; Permits</t>
        </is>
      </c>
      <c r="C43" s="967" t="inlineStr">
        <is>
          <t>Monthlies sum to annual</t>
        </is>
      </c>
      <c r="D43" s="970" t="inlineStr">
        <is>
          <t>✓ OK</t>
        </is>
      </c>
      <c r="E43" s="967" t="inlineStr">
        <is>
          <t>Σmonthly=1,785 vs annual=1,785</t>
        </is>
      </c>
    </row>
    <row r="44" ht="24" customHeight="1">
      <c r="B44" s="967" t="inlineStr">
        <is>
          <t>Expense: 5072 Dues &amp; Subscriptions</t>
        </is>
      </c>
      <c r="C44" s="967" t="inlineStr">
        <is>
          <t>Monthlies sum to annual</t>
        </is>
      </c>
      <c r="D44" s="970" t="inlineStr">
        <is>
          <t>✓ OK</t>
        </is>
      </c>
      <c r="E44" s="967" t="inlineStr">
        <is>
          <t>Σmonthly=1,300 vs annual=1,300</t>
        </is>
      </c>
    </row>
    <row r="45" ht="24" customHeight="1">
      <c r="B45" s="967" t="inlineStr">
        <is>
          <t>Expense: 5102 Tree Maintenance</t>
        </is>
      </c>
      <c r="C45" s="967" t="inlineStr">
        <is>
          <t>Monthlies sum to annual</t>
        </is>
      </c>
      <c r="D45" s="970" t="inlineStr">
        <is>
          <t>✓ OK</t>
        </is>
      </c>
      <c r="E45" s="967" t="inlineStr">
        <is>
          <t>Σmonthly=3,000 vs annual=3,000</t>
        </is>
      </c>
    </row>
    <row r="46" ht="24" customHeight="1">
      <c r="B46" s="967" t="inlineStr">
        <is>
          <t>Expense: 5103 Pest Control</t>
        </is>
      </c>
      <c r="C46" s="967" t="inlineStr">
        <is>
          <t>Monthlies sum to annual</t>
        </is>
      </c>
      <c r="D46" s="970" t="inlineStr">
        <is>
          <t>✓ OK</t>
        </is>
      </c>
      <c r="E46" s="967" t="inlineStr">
        <is>
          <t>Σmonthly=12 vs annual=12</t>
        </is>
      </c>
    </row>
    <row r="47" ht="24" customHeight="1">
      <c r="B47" s="967" t="inlineStr">
        <is>
          <t>Expense: 5104 Grounds Maintenance</t>
        </is>
      </c>
      <c r="C47" s="967" t="inlineStr">
        <is>
          <t>Monthlies sum to annual</t>
        </is>
      </c>
      <c r="D47" s="970" t="inlineStr">
        <is>
          <t>✓ OK</t>
        </is>
      </c>
      <c r="E47" s="967" t="inlineStr">
        <is>
          <t>Σmonthly=10,932 vs annual=10,932</t>
        </is>
      </c>
    </row>
    <row r="48" ht="24" customHeight="1">
      <c r="B48" s="967" t="inlineStr">
        <is>
          <t>Expense: 5107 Septic Pumping &amp; Repair</t>
        </is>
      </c>
      <c r="C48" s="967" t="inlineStr">
        <is>
          <t>Monthlies sum to annual</t>
        </is>
      </c>
      <c r="D48" s="970" t="inlineStr">
        <is>
          <t>✓ OK</t>
        </is>
      </c>
      <c r="E48" s="967" t="inlineStr">
        <is>
          <t>Σmonthly=875 vs annual=875</t>
        </is>
      </c>
    </row>
    <row r="49" ht="24" customHeight="1">
      <c r="B49" s="967" t="inlineStr">
        <is>
          <t>Expense: 5108 Plumbing</t>
        </is>
      </c>
      <c r="C49" s="967" t="inlineStr">
        <is>
          <t>Monthlies sum to annual</t>
        </is>
      </c>
      <c r="D49" s="970" t="inlineStr">
        <is>
          <t>✓ OK</t>
        </is>
      </c>
      <c r="E49" s="967" t="inlineStr">
        <is>
          <t>Σmonthly=2,886 vs annual=2,886</t>
        </is>
      </c>
    </row>
    <row r="50" ht="24" customHeight="1">
      <c r="B50" s="967" t="inlineStr">
        <is>
          <t>Expense: 5109 Miscellaneous Repairs Expense</t>
        </is>
      </c>
      <c r="C50" s="967" t="inlineStr">
        <is>
          <t>Monthlies sum to annual</t>
        </is>
      </c>
      <c r="D50" s="970" t="inlineStr">
        <is>
          <t>✓ OK</t>
        </is>
      </c>
      <c r="E50" s="967" t="inlineStr">
        <is>
          <t>Σmonthly=46 vs annual=46</t>
        </is>
      </c>
    </row>
    <row r="51" ht="24" customHeight="1">
      <c r="B51" s="967" t="inlineStr">
        <is>
          <t>Expense: 5110 Equipment Repairs &amp; Parts</t>
        </is>
      </c>
      <c r="C51" s="967" t="inlineStr">
        <is>
          <t>Monthlies sum to annual</t>
        </is>
      </c>
      <c r="D51" s="970" t="inlineStr">
        <is>
          <t>✓ OK</t>
        </is>
      </c>
      <c r="E51" s="967" t="inlineStr">
        <is>
          <t>Σmonthly=1,583 vs annual=1,583</t>
        </is>
      </c>
    </row>
    <row r="52" ht="24" customHeight="1">
      <c r="B52" s="967" t="inlineStr">
        <is>
          <t>Expense: 5111 Electrical &amp; Gas Repairs</t>
        </is>
      </c>
      <c r="C52" s="967" t="inlineStr">
        <is>
          <t>Monthlies sum to annual</t>
        </is>
      </c>
      <c r="D52" s="970" t="inlineStr">
        <is>
          <t>✓ OK</t>
        </is>
      </c>
      <c r="E52" s="967" t="inlineStr">
        <is>
          <t>Σmonthly=760 vs annual=760</t>
        </is>
      </c>
    </row>
    <row r="53" ht="24" customHeight="1">
      <c r="B53" s="967" t="inlineStr">
        <is>
          <t>Expense: 5200 Park Supplies</t>
        </is>
      </c>
      <c r="C53" s="967" t="inlineStr">
        <is>
          <t>Monthlies sum to annual</t>
        </is>
      </c>
      <c r="D53" s="970" t="inlineStr">
        <is>
          <t>✓ OK</t>
        </is>
      </c>
      <c r="E53" s="967" t="inlineStr">
        <is>
          <t>Σmonthly=4,265 vs annual=4,265</t>
        </is>
      </c>
    </row>
    <row r="54" ht="24" customHeight="1">
      <c r="B54" s="967" t="inlineStr">
        <is>
          <t>Expense: 5301 Property Taxes</t>
        </is>
      </c>
      <c r="C54" s="967" t="inlineStr">
        <is>
          <t>Monthlies sum to annual</t>
        </is>
      </c>
      <c r="D54" s="970" t="inlineStr">
        <is>
          <t>✓ OK</t>
        </is>
      </c>
      <c r="E54" s="967" t="inlineStr">
        <is>
          <t>Σmonthly=15,391 vs annual=15,391</t>
        </is>
      </c>
    </row>
    <row r="55" ht="24" customHeight="1">
      <c r="B55" s="967" t="inlineStr">
        <is>
          <t>Expense: 5401 Fuel for Vehicles</t>
        </is>
      </c>
      <c r="C55" s="967" t="inlineStr">
        <is>
          <t>Monthlies sum to annual</t>
        </is>
      </c>
      <c r="D55" s="970" t="inlineStr">
        <is>
          <t>✓ OK</t>
        </is>
      </c>
      <c r="E55" s="967" t="inlineStr">
        <is>
          <t>Σmonthly=1,001 vs annual=1,001</t>
        </is>
      </c>
    </row>
    <row r="56" ht="24" customHeight="1">
      <c r="B56" s="967" t="inlineStr">
        <is>
          <t>Expense: 5402 Water &amp; Sewer</t>
        </is>
      </c>
      <c r="C56" s="967" t="inlineStr">
        <is>
          <t>Monthlies sum to annual</t>
        </is>
      </c>
      <c r="D56" s="970" t="inlineStr">
        <is>
          <t>✓ OK</t>
        </is>
      </c>
      <c r="E56" s="967" t="inlineStr">
        <is>
          <t>Σmonthly=45,228 vs annual=45,228</t>
        </is>
      </c>
    </row>
    <row r="57" ht="24" customHeight="1">
      <c r="B57" s="967" t="inlineStr">
        <is>
          <t>Expense: 5403 Water Testing</t>
        </is>
      </c>
      <c r="C57" s="967" t="inlineStr">
        <is>
          <t>Monthlies sum to annual</t>
        </is>
      </c>
      <c r="D57" s="970" t="inlineStr">
        <is>
          <t>✓ OK</t>
        </is>
      </c>
      <c r="E57" s="967" t="inlineStr">
        <is>
          <t>Σmonthly=12,049 vs annual=12,049</t>
        </is>
      </c>
    </row>
    <row r="58" ht="24" customHeight="1">
      <c r="B58" s="967" t="inlineStr">
        <is>
          <t>Expense: 5404 Electric</t>
        </is>
      </c>
      <c r="C58" s="967" t="inlineStr">
        <is>
          <t>Monthlies sum to annual</t>
        </is>
      </c>
      <c r="D58" s="970" t="inlineStr">
        <is>
          <t>✓ OK</t>
        </is>
      </c>
      <c r="E58" s="967" t="inlineStr">
        <is>
          <t>Σmonthly=93,310 vs annual=93,310</t>
        </is>
      </c>
    </row>
    <row r="59" ht="24" customHeight="1">
      <c r="B59" s="967" t="inlineStr">
        <is>
          <t>Expense: 5405 Garbage</t>
        </is>
      </c>
      <c r="C59" s="967" t="inlineStr">
        <is>
          <t>Monthlies sum to annual</t>
        </is>
      </c>
      <c r="D59" s="970" t="inlineStr">
        <is>
          <t>✓ OK</t>
        </is>
      </c>
      <c r="E59" s="967" t="inlineStr">
        <is>
          <t>Σmonthly=22,439 vs annual=22,439</t>
        </is>
      </c>
    </row>
    <row r="60" ht="24" customHeight="1">
      <c r="B60" s="967" t="inlineStr">
        <is>
          <t>Expense: 5406 Gas &amp; Propane</t>
        </is>
      </c>
      <c r="C60" s="967" t="inlineStr">
        <is>
          <t>Monthlies sum to annual</t>
        </is>
      </c>
      <c r="D60" s="970" t="inlineStr">
        <is>
          <t>✓ OK</t>
        </is>
      </c>
      <c r="E60" s="967" t="inlineStr">
        <is>
          <t>Σmonthly=1,806 vs annual=1,806</t>
        </is>
      </c>
    </row>
    <row r="61" ht="24" customHeight="1">
      <c r="B61" s="967" t="inlineStr">
        <is>
          <t>Expense: 5407 Tenant Cable TV</t>
        </is>
      </c>
      <c r="C61" s="967" t="inlineStr">
        <is>
          <t>Monthlies sum to annual</t>
        </is>
      </c>
      <c r="D61" s="970" t="inlineStr">
        <is>
          <t>✓ OK</t>
        </is>
      </c>
      <c r="E61" s="967" t="inlineStr">
        <is>
          <t>Σmonthly=69,426 vs annual=69,426</t>
        </is>
      </c>
    </row>
    <row r="62" ht="24" customHeight="1">
      <c r="B62" s="967" t="inlineStr">
        <is>
          <t>Expense: 5409 Rentals - Coin Laundry</t>
        </is>
      </c>
      <c r="C62" s="967" t="inlineStr">
        <is>
          <t>Monthlies sum to annual</t>
        </is>
      </c>
      <c r="D62" s="970" t="inlineStr">
        <is>
          <t>✓ OK</t>
        </is>
      </c>
      <c r="E62" s="967" t="inlineStr">
        <is>
          <t>Σmonthly=1,080 vs annual=1,080</t>
        </is>
      </c>
    </row>
    <row r="63" ht="24" customHeight="1">
      <c r="B63" s="967" t="inlineStr">
        <is>
          <t>Expense: 5601 Office Supplies</t>
        </is>
      </c>
      <c r="C63" s="967" t="inlineStr">
        <is>
          <t>Monthlies sum to annual</t>
        </is>
      </c>
      <c r="D63" s="970" t="inlineStr">
        <is>
          <t>✓ OK</t>
        </is>
      </c>
      <c r="E63" s="967" t="inlineStr">
        <is>
          <t>Σmonthly=208 vs annual=208</t>
        </is>
      </c>
    </row>
    <row r="64" ht="24" customHeight="1">
      <c r="B64" s="967" t="inlineStr">
        <is>
          <t>Expense: 5602 Internet Services</t>
        </is>
      </c>
      <c r="C64" s="967" t="inlineStr">
        <is>
          <t>Monthlies sum to annual</t>
        </is>
      </c>
      <c r="D64" s="970" t="inlineStr">
        <is>
          <t>✓ OK</t>
        </is>
      </c>
      <c r="E64" s="967" t="inlineStr">
        <is>
          <t>Σmonthly=1,324 vs annual=1,324</t>
        </is>
      </c>
    </row>
    <row r="65" ht="24" customHeight="1">
      <c r="B65" s="967" t="inlineStr">
        <is>
          <t>Expense: 5603 Telephone Services</t>
        </is>
      </c>
      <c r="C65" s="967" t="inlineStr">
        <is>
          <t>Monthlies sum to annual</t>
        </is>
      </c>
      <c r="D65" s="970" t="inlineStr">
        <is>
          <t>✓ OK</t>
        </is>
      </c>
      <c r="E65" s="967" t="inlineStr">
        <is>
          <t>Σmonthly=502 vs annual=502</t>
        </is>
      </c>
    </row>
    <row r="66" ht="24" customHeight="1">
      <c r="B66" s="967" t="inlineStr">
        <is>
          <t>Expense: 5605 Postage</t>
        </is>
      </c>
      <c r="C66" s="967" t="inlineStr">
        <is>
          <t>Monthlies sum to annual</t>
        </is>
      </c>
      <c r="D66" s="970" t="inlineStr">
        <is>
          <t>✓ OK</t>
        </is>
      </c>
      <c r="E66" s="967" t="inlineStr">
        <is>
          <t>Σmonthly=1,190 vs annual=1,190</t>
        </is>
      </c>
    </row>
    <row r="67" ht="24" customHeight="1">
      <c r="B67" s="967" t="inlineStr">
        <is>
          <t>Expense: 5606 Background Checks</t>
        </is>
      </c>
      <c r="C67" s="967" t="inlineStr">
        <is>
          <t>Monthlies sum to annual</t>
        </is>
      </c>
      <c r="D67" s="970" t="inlineStr">
        <is>
          <t>✓ OK</t>
        </is>
      </c>
      <c r="E67" s="967" t="inlineStr">
        <is>
          <t>Σmonthly=458 vs annual=458</t>
        </is>
      </c>
    </row>
    <row r="68" ht="24" customHeight="1">
      <c r="B68" s="967" t="inlineStr">
        <is>
          <t>Expense: 5650 Bank Fees</t>
        </is>
      </c>
      <c r="C68" s="967" t="inlineStr">
        <is>
          <t>Monthlies sum to annual</t>
        </is>
      </c>
      <c r="D68" s="970" t="inlineStr">
        <is>
          <t>✓ OK</t>
        </is>
      </c>
      <c r="E68" s="967" t="inlineStr">
        <is>
          <t>Σmonthly=7,969 vs annual=7,969</t>
        </is>
      </c>
    </row>
    <row r="69" ht="24" customHeight="1">
      <c r="B69" s="967" t="inlineStr">
        <is>
          <t>Expense: 5701 Wages, Salary</t>
        </is>
      </c>
      <c r="C69" s="967" t="inlineStr">
        <is>
          <t>Monthlies sum to annual</t>
        </is>
      </c>
      <c r="D69" s="970" t="inlineStr">
        <is>
          <t>✓ OK</t>
        </is>
      </c>
      <c r="E69" s="967" t="inlineStr">
        <is>
          <t>Σmonthly=48,650 vs annual=48,650</t>
        </is>
      </c>
    </row>
    <row r="70" ht="24" customHeight="1">
      <c r="B70" s="967" t="inlineStr">
        <is>
          <t>Expense: 5702 Health Insurance</t>
        </is>
      </c>
      <c r="C70" s="967" t="inlineStr">
        <is>
          <t>Monthlies sum to annual</t>
        </is>
      </c>
      <c r="D70" s="970" t="inlineStr">
        <is>
          <t>✓ OK</t>
        </is>
      </c>
      <c r="E70" s="967" t="inlineStr">
        <is>
          <t>Σmonthly=1,026 vs annual=1,026</t>
        </is>
      </c>
    </row>
    <row r="71" ht="24" customHeight="1">
      <c r="B71" s="967" t="inlineStr">
        <is>
          <t>Expense: 5703 Casual Labour</t>
        </is>
      </c>
      <c r="C71" s="967" t="inlineStr">
        <is>
          <t>Monthlies sum to annual</t>
        </is>
      </c>
      <c r="D71" s="970" t="inlineStr">
        <is>
          <t>✓ OK</t>
        </is>
      </c>
      <c r="E71" s="967" t="inlineStr">
        <is>
          <t>Σmonthly=22,505 vs annual=22,505</t>
        </is>
      </c>
    </row>
    <row r="72" ht="24" customHeight="1">
      <c r="B72" s="967" t="inlineStr">
        <is>
          <t>Expense: 5704 Unemployment Insurance</t>
        </is>
      </c>
      <c r="C72" s="967" t="inlineStr">
        <is>
          <t>Monthlies sum to annual</t>
        </is>
      </c>
      <c r="D72" s="970" t="inlineStr">
        <is>
          <t>✓ OK</t>
        </is>
      </c>
      <c r="E72" s="967" t="inlineStr">
        <is>
          <t>Σmonthly=3,118 vs annual=3,118</t>
        </is>
      </c>
    </row>
    <row r="73" ht="24" customHeight="1">
      <c r="B73" s="967" t="inlineStr">
        <is>
          <t>Expense: 5705 Payroll Service Fee</t>
        </is>
      </c>
      <c r="C73" s="967" t="inlineStr">
        <is>
          <t>Monthlies sum to annual</t>
        </is>
      </c>
      <c r="D73" s="970" t="inlineStr">
        <is>
          <t>✓ OK</t>
        </is>
      </c>
      <c r="E73" s="967" t="inlineStr">
        <is>
          <t>Σmonthly=1,475 vs annual=1,475</t>
        </is>
      </c>
    </row>
    <row r="74" ht="24" customHeight="1">
      <c r="B74" s="967" t="inlineStr">
        <is>
          <t>Expense: 5706 FUTA</t>
        </is>
      </c>
      <c r="C74" s="967" t="inlineStr">
        <is>
          <t>Monthlies sum to annual</t>
        </is>
      </c>
      <c r="D74" s="970" t="inlineStr">
        <is>
          <t>✓ OK</t>
        </is>
      </c>
      <c r="E74" s="967" t="inlineStr">
        <is>
          <t>Σmonthly=93 vs annual=93</t>
        </is>
      </c>
    </row>
    <row r="75" ht="24" customHeight="1">
      <c r="B75" s="967" t="inlineStr">
        <is>
          <t>Expense: 5708 Social Security Tax</t>
        </is>
      </c>
      <c r="C75" s="967" t="inlineStr">
        <is>
          <t>Monthlies sum to annual</t>
        </is>
      </c>
      <c r="D75" s="970" t="inlineStr">
        <is>
          <t>✓ OK</t>
        </is>
      </c>
      <c r="E75" s="967" t="inlineStr">
        <is>
          <t>Σmonthly=4,432 vs annual=4,432</t>
        </is>
      </c>
    </row>
    <row r="76" ht="24" customHeight="1">
      <c r="B76" s="967" t="inlineStr">
        <is>
          <t>Expense: 5713 OR Workers Benefit Fund</t>
        </is>
      </c>
      <c r="C76" s="967" t="inlineStr">
        <is>
          <t>Monthlies sum to annual</t>
        </is>
      </c>
      <c r="D76" s="970" t="inlineStr">
        <is>
          <t>✓ OK</t>
        </is>
      </c>
      <c r="E76" s="967" t="inlineStr">
        <is>
          <t>Σmonthly=251 vs annual=251</t>
        </is>
      </c>
    </row>
    <row r="77" ht="24" customHeight="1">
      <c r="B77" s="967" t="inlineStr">
        <is>
          <t>Expense: 5716 Worker's Comp Insurance</t>
        </is>
      </c>
      <c r="C77" s="967" t="inlineStr">
        <is>
          <t>Monthlies sum to annual</t>
        </is>
      </c>
      <c r="D77" s="970" t="inlineStr">
        <is>
          <t>✓ OK</t>
        </is>
      </c>
      <c r="E77" s="967" t="inlineStr">
        <is>
          <t>Σmonthly=1,660 vs annual=1,660</t>
        </is>
      </c>
    </row>
    <row r="78" ht="24" customHeight="1">
      <c r="B78" s="967" t="inlineStr">
        <is>
          <t>Expense: 6120 Bad Debt</t>
        </is>
      </c>
      <c r="C78" s="967" t="inlineStr">
        <is>
          <t>Monthlies sum to annual</t>
        </is>
      </c>
      <c r="D78" s="970" t="inlineStr">
        <is>
          <t>✓ OK</t>
        </is>
      </c>
      <c r="E78" s="967" t="inlineStr">
        <is>
          <t>Σmonthly=26,062 vs annual=26,062</t>
        </is>
      </c>
    </row>
    <row r="79" ht="24" customHeight="1">
      <c r="B79" s="967" t="inlineStr">
        <is>
          <t>Rent roll total</t>
        </is>
      </c>
      <c r="C79" s="967" t="inlineStr">
        <is>
          <t>Monthly → annual</t>
        </is>
      </c>
      <c r="D79" s="970" t="inlineStr">
        <is>
          <t>✓ OK</t>
        </is>
      </c>
      <c r="E79" s="967" t="inlineStr">
        <is>
          <t>Stated rent roll total 117,877/mo → 1,414,524/yr (this should approximate GPR)</t>
        </is>
      </c>
    </row>
    <row r="80" ht="24" customHeight="1">
      <c r="B80" s="967" t="inlineStr">
        <is>
          <t>Rent-roll vs income parity: TOH MH Site</t>
        </is>
      </c>
      <c r="C80" s="967" t="inlineStr">
        <is>
          <t>'Gross Potential Rent' present</t>
        </is>
      </c>
      <c r="D80" s="970" t="inlineStr">
        <is>
          <t>✓ OK</t>
        </is>
      </c>
      <c r="E80" s="967" t="inlineStr">
        <is>
          <t>105 unit(s) → $1,144,604 income</t>
        </is>
      </c>
    </row>
    <row r="81" ht="24" customHeight="1">
      <c r="B81" s="967" t="inlineStr">
        <is>
          <t>Rent-roll vs income parity: Long term RV Site</t>
        </is>
      </c>
      <c r="C81" s="967" t="inlineStr">
        <is>
          <t>'RV Site Rental Income' present</t>
        </is>
      </c>
      <c r="D81" s="970" t="inlineStr">
        <is>
          <t>✓ OK</t>
        </is>
      </c>
      <c r="E81" s="967" t="inlineStr">
        <is>
          <t>18 unit(s) → $172,705 income</t>
        </is>
      </c>
    </row>
    <row r="82" ht="24" customHeight="1">
      <c r="B82" s="967" t="inlineStr">
        <is>
          <t>Expense ratio</t>
        </is>
      </c>
      <c r="C82" s="967" t="inlineStr">
        <is>
          <t>25–55% typical for MHC, 35–50% for hybrid</t>
        </is>
      </c>
      <c r="D82" s="970" t="inlineStr">
        <is>
          <t>✓ OK</t>
        </is>
      </c>
      <c r="E82" s="967" t="inlineStr">
        <is>
          <t>Underwritten expense ratio = 37.4%</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131"/>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960" t="inlineStr">
        <is>
          <t>PROPERTY OVERVIEW</t>
        </is>
      </c>
    </row>
    <row r="3" ht="18" customHeight="1">
      <c r="B3" s="961" t="inlineStr">
        <is>
          <t>Location context, visuals, demographics, and qualitative assessment</t>
        </is>
      </c>
    </row>
    <row r="5" ht="22" customHeight="1">
      <c r="B5" s="962" t="inlineStr">
        <is>
          <t xml:space="preserve">  PROPERTY LINKS</t>
        </is>
      </c>
    </row>
    <row r="6" ht="18" customHeight="1">
      <c r="B6" s="963" t="inlineStr">
        <is>
          <t>Property Name</t>
        </is>
      </c>
      <c r="C6" s="971" t="inlineStr">
        <is>
          <t>Whaleshead Beach Resort</t>
        </is>
      </c>
    </row>
    <row r="7" ht="18" customHeight="1">
      <c r="B7" s="963" t="inlineStr">
        <is>
          <t>Address</t>
        </is>
      </c>
      <c r="C7" s="971" t="inlineStr">
        <is>
          <t>19921 Whaleshead Road, Brookings, OR</t>
        </is>
      </c>
    </row>
    <row r="8" ht="18" customHeight="1">
      <c r="B8" s="963" t="inlineStr">
        <is>
          <t>Property Type</t>
        </is>
      </c>
      <c r="C8" s="971" t="inlineStr">
        <is>
          <t>Hybrid</t>
        </is>
      </c>
    </row>
    <row r="9" ht="18" customHeight="1">
      <c r="B9" s="963" t="inlineStr">
        <is>
          <t>Total Units</t>
        </is>
      </c>
      <c r="C9" s="971" t="n">
        <v>109</v>
      </c>
    </row>
    <row r="10" ht="18" customHeight="1">
      <c r="B10" s="963" t="inlineStr">
        <is>
          <t>County</t>
        </is>
      </c>
      <c r="C10" s="971" t="inlineStr">
        <is>
          <t>Curry</t>
        </is>
      </c>
    </row>
    <row r="11" ht="18" customHeight="1">
      <c r="B11" s="963" t="inlineStr">
        <is>
          <t>Asking Price</t>
        </is>
      </c>
      <c r="C11" s="971" t="n">
        <v>10000000</v>
      </c>
    </row>
    <row r="12" ht="18" customHeight="1">
      <c r="B12" s="963" t="inlineStr">
        <is>
          <t>CoStar Link</t>
        </is>
      </c>
      <c r="C12" s="971" t="inlineStr"/>
    </row>
    <row r="13" ht="18" customHeight="1">
      <c r="B13" s="963" t="inlineStr">
        <is>
          <t>Property Website</t>
        </is>
      </c>
      <c r="C13" s="971" t="inlineStr"/>
    </row>
    <row r="14" ht="18" customHeight="1">
      <c r="B14" s="963" t="inlineStr">
        <is>
          <t>Broker / OM</t>
        </is>
      </c>
      <c r="C14" s="971" t="inlineStr"/>
    </row>
    <row r="15" ht="18" customHeight="1">
      <c r="B15" s="963" t="inlineStr">
        <is>
          <t>County Assessor</t>
        </is>
      </c>
      <c r="C15" s="971" t="inlineStr"/>
    </row>
    <row r="16" ht="18" customHeight="1">
      <c r="B16" s="963" t="inlineStr">
        <is>
          <t>FEMA Flood Map</t>
        </is>
      </c>
      <c r="C16" s="971" t="inlineStr"/>
    </row>
    <row r="18" ht="22" customHeight="1">
      <c r="B18" s="962" t="inlineStr">
        <is>
          <t xml:space="preserve">  DEMOGRAPHICS</t>
        </is>
      </c>
    </row>
    <row r="19" ht="18" customHeight="1">
      <c r="B19" s="963" t="inlineStr">
        <is>
          <t>County Population</t>
        </is>
      </c>
      <c r="C19" s="971" t="n">
        <v>21776</v>
      </c>
    </row>
    <row r="20" ht="18" customHeight="1">
      <c r="B20" s="963" t="inlineStr">
        <is>
          <t>5-Year Population Growth</t>
        </is>
      </c>
      <c r="C20" s="971" t="inlineStr">
        <is>
          <t>-4.0%</t>
        </is>
      </c>
    </row>
    <row r="21" ht="18" customHeight="1">
      <c r="B21" s="963" t="inlineStr">
        <is>
          <t>Median Household Income</t>
        </is>
      </c>
      <c r="C21" s="971" t="inlineStr">
        <is>
          <t>$62,244</t>
        </is>
      </c>
    </row>
    <row r="22" ht="18" customHeight="1">
      <c r="B22" s="963" t="inlineStr">
        <is>
          <t>Unemployment Rate</t>
        </is>
      </c>
      <c r="C22" s="971" t="inlineStr">
        <is>
          <t>5.4%</t>
        </is>
      </c>
    </row>
    <row r="23" ht="18" customHeight="1">
      <c r="B23" s="963" t="inlineStr">
        <is>
          <t>Top Employers</t>
        </is>
      </c>
      <c r="C23" s="971" t="inlineStr">
        <is>
          <t>Curry Health Network / Curry Medical Center (Brookings) &amp; Curry General Hospital (Gold Beach), Brookings-Harbor School District 17C, Curry County government, City of Brookings, Port of Brookings Harbor commercial fishing fleet (crab/salmon/tuna), Fred Meyer and local retail, Sutter Coast Hospital (Crescent City, CA - regional), OSU Extension / Southwestern Oregon Community College</t>
        </is>
      </c>
    </row>
    <row r="25" ht="22" customHeight="1">
      <c r="B25" s="962" t="inlineStr">
        <is>
          <t xml:space="preserve">  ALTERNATIVE HOUSING (affordability)</t>
        </is>
      </c>
    </row>
    <row r="26" ht="18" customHeight="1">
      <c r="B26" s="963" t="inlineStr">
        <is>
          <t>Avg Single-Family Home Price</t>
        </is>
      </c>
      <c r="C26" s="971" t="inlineStr">
        <is>
          <t>$580,000</t>
        </is>
      </c>
    </row>
    <row r="27" ht="18" customHeight="1">
      <c r="B27" s="963" t="inlineStr">
        <is>
          <t>Avg 1BR Apartment Rent</t>
        </is>
      </c>
      <c r="C27" s="971" t="inlineStr">
        <is>
          <t>$900/mo</t>
        </is>
      </c>
    </row>
    <row r="28" ht="18" customHeight="1">
      <c r="B28" s="963" t="inlineStr">
        <is>
          <t>Avg 2BR Apartment Rent</t>
        </is>
      </c>
      <c r="C28" s="971" t="inlineStr">
        <is>
          <t>$1,477/mo</t>
        </is>
      </c>
    </row>
    <row r="29" ht="18" customHeight="1">
      <c r="B29" s="963" t="inlineStr">
        <is>
          <t>Avg 3BR Apartment Rent</t>
        </is>
      </c>
      <c r="C29" s="971" t="inlineStr">
        <is>
          <t>$1,650/mo</t>
        </is>
      </c>
    </row>
    <row r="30" ht="18" customHeight="1">
      <c r="B30" s="963" t="inlineStr">
        <is>
          <t>MHP All-In Monthly Cost</t>
        </is>
      </c>
      <c r="C30" s="971" t="inlineStr">
        <is>
          <t>$1,068/mo</t>
        </is>
      </c>
    </row>
    <row r="31" ht="18" customHeight="1">
      <c r="B31" s="963" t="inlineStr">
        <is>
          <t>MHP Savings vs 2BR Apt</t>
        </is>
      </c>
      <c r="C31" s="971" t="inlineStr">
        <is>
          <t>28.0%</t>
        </is>
      </c>
    </row>
    <row r="33" ht="22" customHeight="1">
      <c r="B33" s="962" t="inlineStr">
        <is>
          <t xml:space="preserve">  AERIAL &amp; LOCATION MAP</t>
        </is>
      </c>
    </row>
    <row r="34">
      <c r="B34" s="972" t="inlineStr">
        <is>
          <t>Satellite / Aerial</t>
        </is>
      </c>
      <c r="D34" s="972"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962" t="inlineStr">
        <is>
          <t xml:space="preserve">  STREET VIEW</t>
        </is>
      </c>
    </row>
    <row r="52">
      <c r="B52" s="972" t="inlineStr">
        <is>
          <t>Main Entrance</t>
        </is>
      </c>
      <c r="D52" s="972" t="inlineStr">
        <is>
          <t>Interior Road</t>
        </is>
      </c>
    </row>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9">
      <c r="B69" s="972" t="inlineStr">
        <is>
          <t>Example Home #1</t>
        </is>
      </c>
      <c r="D69" s="972" t="inlineStr">
        <is>
          <t>Example Home #2</t>
        </is>
      </c>
    </row>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6" ht="22" customHeight="1">
      <c r="B86" s="962" t="inlineStr">
        <is>
          <t xml:space="preserve">  CLICKABLE URLs</t>
        </is>
      </c>
    </row>
    <row r="87" ht="18" customHeight="1">
      <c r="B87" s="963" t="inlineStr">
        <is>
          <t>Aerial / Satellite</t>
        </is>
      </c>
      <c r="C87" s="971" t="inlineStr">
        <is>
          <t>https://www.google.com/maps/place/19921+Whaleshead+Rd,+Brookings,+OR+97415/@42.1547,-124.3556,1000m/data=!3m1!1e3</t>
        </is>
      </c>
    </row>
    <row r="88" ht="18" customHeight="1">
      <c r="B88" s="963" t="inlineStr">
        <is>
          <t>Roadmap</t>
        </is>
      </c>
      <c r="C88" s="971" t="inlineStr">
        <is>
          <t>https://www.google.com/maps/search/?api=1&amp;query=19921+Whaleshead+Road%2C+Brookings%2C+OR</t>
        </is>
      </c>
    </row>
    <row r="89" ht="18" customHeight="1">
      <c r="B89" s="963" t="inlineStr">
        <is>
          <t>Street View — Main Entrance</t>
        </is>
      </c>
      <c r="C89" s="971" t="inlineStr">
        <is>
          <t>https://www.google.com/maps?q=19921+Whaleshead+Road,+Brookings,+OR+97415&amp;layer=c</t>
        </is>
      </c>
    </row>
    <row r="90" ht="18" customHeight="1">
      <c r="B90" s="963" t="inlineStr">
        <is>
          <t>Street View — Interior Road</t>
        </is>
      </c>
      <c r="C90" s="971" t="inlineStr">
        <is>
          <t>https://www.google.com/maps/@42.1547,-124.3556,3a,75y/data=!3m6!1e1</t>
        </is>
      </c>
    </row>
    <row r="91" ht="18" customHeight="1">
      <c r="B91" s="963" t="inlineStr">
        <is>
          <t>Street View — Example Home #1</t>
        </is>
      </c>
      <c r="C91" s="971" t="inlineStr">
        <is>
          <t>https://www.google.com/maps/search/Whaleshead+Beach+Resort+Brookings+OR</t>
        </is>
      </c>
    </row>
    <row r="92" ht="18" customHeight="1">
      <c r="B92" s="963" t="inlineStr">
        <is>
          <t>Street View — Example Home #2</t>
        </is>
      </c>
      <c r="C92" s="971" t="inlineStr">
        <is>
          <t>https://www.google.com/maps/search/19921+Whaleshead+Rd+Brookings+OR+homes</t>
        </is>
      </c>
    </row>
    <row r="93" ht="18" customHeight="1">
      <c r="B93" s="963" t="inlineStr">
        <is>
          <t>Driving Directions</t>
        </is>
      </c>
      <c r="C93" s="971" t="inlineStr">
        <is>
          <t>https://www.google.com/maps/dir/Brookings,+OR/19921+Whaleshead+Rd,+Brookings,+OR+97415</t>
        </is>
      </c>
    </row>
    <row r="95" ht="22" customHeight="1">
      <c r="B95" s="962" t="inlineStr">
        <is>
          <t xml:space="preserve">  PROXIMITY TO KEY LANDMARKS</t>
        </is>
      </c>
    </row>
    <row r="96">
      <c r="B96" s="973" t="inlineStr">
        <is>
          <t>Landmark Type</t>
        </is>
      </c>
      <c r="C96" s="973" t="inlineStr">
        <is>
          <t>Name / Address</t>
        </is>
      </c>
      <c r="E96" s="973" t="inlineStr">
        <is>
          <t>Distance (mi)</t>
        </is>
      </c>
    </row>
    <row r="97" ht="18" customHeight="1">
      <c r="B97" s="963" t="inlineStr">
        <is>
          <t>Nearest Major Employer #1</t>
        </is>
      </c>
      <c r="C97" s="971" t="inlineStr">
        <is>
          <t>Curry Medical Center (Curry Health Network), 500 5th St, Brookings</t>
        </is>
      </c>
      <c r="E97" s="974" t="n">
        <v>7</v>
      </c>
    </row>
    <row r="98" ht="18" customHeight="1">
      <c r="B98" s="963" t="inlineStr">
        <is>
          <t>Nearest Major Employer #2</t>
        </is>
      </c>
      <c r="C98" s="971" t="inlineStr">
        <is>
          <t>Brookings-Harbor School District 17C</t>
        </is>
      </c>
      <c r="E98" s="974" t="n">
        <v>7.5</v>
      </c>
    </row>
    <row r="99" ht="18" customHeight="1">
      <c r="B99" s="963" t="inlineStr">
        <is>
          <t>Nearest Major Employer #3</t>
        </is>
      </c>
      <c r="C99" s="971" t="inlineStr">
        <is>
          <t>Port of Brookings Harbor (commercial fishing fleet)</t>
        </is>
      </c>
      <c r="E99" s="974" t="n">
        <v>8</v>
      </c>
    </row>
    <row r="100" ht="18" customHeight="1">
      <c r="B100" s="963" t="inlineStr">
        <is>
          <t>Nearest Walmart / Big Box</t>
        </is>
      </c>
      <c r="C100" s="971" t="inlineStr">
        <is>
          <t>Fred Meyer, Brookings (nearest Walmart is Crescent City, CA ~30 mi)</t>
        </is>
      </c>
      <c r="E100" s="974" t="n">
        <v>7</v>
      </c>
    </row>
    <row r="101" ht="18" customHeight="1">
      <c r="B101" s="963" t="inlineStr">
        <is>
          <t>Nearest Grocery Store</t>
        </is>
      </c>
      <c r="C101" s="971" t="inlineStr">
        <is>
          <t>Grocery Outlet / Fred Meyer, Brookings</t>
        </is>
      </c>
      <c r="E101" s="974" t="n">
        <v>7</v>
      </c>
    </row>
    <row r="102" ht="18" customHeight="1">
      <c r="B102" s="963" t="inlineStr">
        <is>
          <t>Nearest Hospital / Urgent Care</t>
        </is>
      </c>
      <c r="C102" s="971" t="inlineStr">
        <is>
          <t>Curry Medical Center Urgent Care/ED, Brookings (Curry General Hospital, Gold Beach ~21 mi)</t>
        </is>
      </c>
      <c r="E102" s="974" t="n">
        <v>7</v>
      </c>
    </row>
    <row r="103" ht="18" customHeight="1">
      <c r="B103" s="963" t="inlineStr">
        <is>
          <t>Nearest Elementary School</t>
        </is>
      </c>
      <c r="C103" s="971" t="inlineStr">
        <is>
          <t>Kalmiopsis Elementary School, Brookings</t>
        </is>
      </c>
      <c r="E103" s="974" t="n">
        <v>7</v>
      </c>
    </row>
    <row r="104" ht="18" customHeight="1">
      <c r="B104" s="963" t="inlineStr">
        <is>
          <t>Nearest High School</t>
        </is>
      </c>
      <c r="C104" s="971" t="inlineStr">
        <is>
          <t>Brookings-Harbor High School, 625 Pioneer Rd</t>
        </is>
      </c>
      <c r="E104" s="974" t="n">
        <v>8</v>
      </c>
    </row>
    <row r="105" ht="18" customHeight="1">
      <c r="B105" s="963" t="inlineStr">
        <is>
          <t>Nearest Community College / University</t>
        </is>
      </c>
      <c r="C105" s="971" t="inlineStr">
        <is>
          <t>Southwestern Oregon Community College, Brookings campus (College of the Redwoods, Crescent City ~16 mi)</t>
        </is>
      </c>
      <c r="E105" s="974" t="n">
        <v>7</v>
      </c>
    </row>
    <row r="106" ht="18" customHeight="1">
      <c r="B106" s="963" t="inlineStr">
        <is>
          <t>Nearest Major Highway / Interstate</t>
        </is>
      </c>
      <c r="C106" s="971" t="inlineStr">
        <is>
          <t>US-101 (adjacent to Whaleshead Rd)</t>
        </is>
      </c>
      <c r="E106" s="974" t="n">
        <v>0.5</v>
      </c>
    </row>
    <row r="107" ht="18" customHeight="1">
      <c r="B107" s="963" t="inlineStr">
        <is>
          <t>Downtown (nearest city)</t>
        </is>
      </c>
      <c r="C107" s="971" t="inlineStr">
        <is>
          <t>Downtown Brookings</t>
        </is>
      </c>
      <c r="E107" s="974" t="n">
        <v>7</v>
      </c>
    </row>
    <row r="108" ht="18" customHeight="1">
      <c r="B108" s="963" t="inlineStr">
        <is>
          <t>Nearest Airport</t>
        </is>
      </c>
      <c r="C108" s="971" t="inlineStr">
        <is>
          <t>Del Norte County Regional Airport, Crescent City, CA (Medford Intl ~100 mi)</t>
        </is>
      </c>
      <c r="E108" s="974" t="n">
        <v>17</v>
      </c>
    </row>
    <row r="110" ht="22" customHeight="1">
      <c r="B110" s="962" t="inlineStr">
        <is>
          <t xml:space="preserve">  DILIGENCE FLAGS</t>
        </is>
      </c>
    </row>
    <row r="111" ht="36" customHeight="1">
      <c r="B111" s="975" t="inlineStr">
        <is>
          <t>HIGH</t>
        </is>
      </c>
      <c r="C111" s="976" t="inlineStr">
        <is>
          <t>Investment Criteria — Spread: DOES NOT MEET INVESTMENT CRITERIA: Stabilized Yield on Cost (9.66%) minus Ingoing Cap Rate (9.10%) = +56 bps, below GGC's 200 bps minimum spread. — Recommendation: Asset is already ~98% occupied with limited lot-rent upside, so value-add spread is thin. NOTE the absolute ingoing cap of 9.10% on the $10M ask is strong — recommend evaluating as a yield/cash-flow acquisition rather than a value-add deal. Deal fails the spread hurdle as currently structured.</t>
        </is>
      </c>
    </row>
    <row r="112" ht="36" customHeight="1">
      <c r="B112" s="975" t="inlineStr">
        <is>
          <t>HIGH</t>
        </is>
      </c>
      <c r="C112" s="976" t="inlineStr">
        <is>
          <t>Unit Count Reconciliation: Rent roll shows 127 rows but property is stated at 109 units — rent_roll_long. Note: 107 WHA Lots + 1 Commercial + 1 Storage = 109 (matches stated count), but the 18 WHA RV sites appear to be excluded from the user's 109. True operating pad count is ~125 (107 MH lots + 18 RV). — Recommendation: Confirm with broker: does the 109 exclude the 18 long-term RV sites? Also reconcile the 'Caldeira, Ken' row (no unit #, RC=984) and the 124-tenant/126-unit summary discrepancy. Underwriting used 107 TOH lots + 18 RV + 2 retail/storage = 127 rent-roll rows.</t>
        </is>
      </c>
    </row>
    <row r="113" ht="36" customHeight="1">
      <c r="B113" s="975" t="inlineStr">
        <is>
          <t>HIGH</t>
        </is>
      </c>
      <c r="C113" s="976" t="inlineStr">
        <is>
          <t>RV Income Decline: 4103 RV lot rent declined ~24% across the T12 ($17,051/mo -&gt; ~$12,900/mo). — Recommendation: Underwrote at T3 annualized ($153,917) per declining-trend rule. Confirm cause — occupancy attrition, seasonal, or rate reductions. RV income is a riskier stream; consider capping it at a higher rate than MH lot rent.</t>
        </is>
      </c>
    </row>
    <row r="114" ht="36" customHeight="1">
      <c r="B114" s="975" t="inlineStr">
        <is>
          <t>HIGH</t>
        </is>
      </c>
      <c r="C114" s="976" t="inlineStr">
        <is>
          <t>Bad Debt Underwriting: Underwritten bad debt ($52,331, ~4.2% of GPR) is ~2x seller historical T12 bad debt ($26,062). Driven by timing mismatch (rent roll dated 03/01/26 vs T12 ending 10/31/25). — Recommendation: Reconcile current rent-roll rents against actual T12 collections. Elevated late fees, legal fees, and a $10,327 single-month bad-debt charge corroborate real collection pressure — but verify the plug isn't overstating due to period mismatch.</t>
        </is>
      </c>
    </row>
    <row r="115" ht="36" customHeight="1">
      <c r="B115" s="977" t="inlineStr">
        <is>
          <t>MEDIUM</t>
        </is>
      </c>
      <c r="C115" s="976" t="inlineStr">
        <is>
          <t>Payroll / Casual Labour Spike: 5703 Casual Labour = $10,400 in each of the final two months vs ~$200 average, while regular wages (5701) drop to ~$422/$0 in the same months. — Recommendation: Possible staffing transition (W-2 to contract) or one-time project. Confirm scope with seller. If one-time, exclude from payroll T12 x 1.03 basis.</t>
        </is>
      </c>
    </row>
    <row r="116" ht="36" customHeight="1">
      <c r="B116" s="977" t="inlineStr">
        <is>
          <t>MEDIUM</t>
        </is>
      </c>
      <c r="C116" s="976" t="inlineStr">
        <is>
          <t>Ground Maintenance Spike: Months 11-12 spike to $5,729.84 and $6,000 (tree + grounds) vs ~$200 average. — Recommendation: Likely seasonal tree work/cleanup. Confirm if one-time; if so, exclude from T12 x 1.03 underwriting basis.</t>
        </is>
      </c>
    </row>
    <row r="117" ht="36" customHeight="1">
      <c r="B117" s="977" t="inlineStr">
        <is>
          <t>MEDIUM</t>
        </is>
      </c>
      <c r="C117" s="976" t="inlineStr">
        <is>
          <t>Advertising Spike: Month 2 = $1,448 vs ~$93 average (~15.6x). — Recommendation: Likely one-time listing/campaign. Reviewer to decide exclusion.</t>
        </is>
      </c>
    </row>
    <row r="118" ht="36" customHeight="1">
      <c r="B118" s="977" t="inlineStr">
        <is>
          <t>MEDIUM</t>
        </is>
      </c>
      <c r="C118" s="976" t="inlineStr">
        <is>
          <t>Insurance / Flood Zone: Coastal Oregon beach resort; flood zone status UNKNOWN. Per-unit insurance ~$301/pad at top of MHC benchmark. — Recommendation: Pull FEMA flood map — if not Zone X, apply 20.75% insurance trend override (currently only 5% applied). Also test GGC portfolio umbrella for potential premium reduction.</t>
        </is>
      </c>
    </row>
    <row r="119" ht="36" customHeight="1">
      <c r="B119" s="977" t="inlineStr">
        <is>
          <t>MEDIUM</t>
        </is>
      </c>
      <c r="C119" s="976" t="inlineStr">
        <is>
          <t>Property Tax / Oregon Measure 50: Standard reassessment formula ($6.5M x ~0.85% = ~$55,250) far exceeds historical $15,391, but Oregon Measure 50 caps assessed-value growth at 3%/yr and does NOT reassess to market on sale. — Recommendation: Used fallback T12 x 1.15 = $17,699. Verify Curry County parcel and maximum assessed value; confirm no compression/exception triggers reassessment.</t>
        </is>
      </c>
    </row>
    <row r="120" ht="36" customHeight="1">
      <c r="B120" s="977" t="inlineStr">
        <is>
          <t>MEDIUM</t>
        </is>
      </c>
      <c r="C120" s="976" t="inlineStr">
        <is>
          <t>Water System / Testing Burden: Recurring 5403 Water Testing ($12,049/yr) plus heavy 5402 W&amp;S suggests a private well/water system. — Recommendation: Diligence on water treatment infrastructure, compliance, and potential capital needs — factor into CapEx plan.</t>
        </is>
      </c>
    </row>
    <row r="122" ht="22" customHeight="1">
      <c r="B122" s="962" t="inlineStr">
        <is>
          <t xml:space="preserve">  QUESTIONS FOR SELLER / BROKER</t>
        </is>
      </c>
    </row>
    <row r="123" ht="30" customHeight="1">
      <c r="B123" s="978" t="inlineStr">
        <is>
          <t>#1</t>
        </is>
      </c>
      <c r="C123" s="976" t="inlineStr">
        <is>
          <t>Does the user's 109-unit count exclude the 18 long-term RV sites? True operating pad count appears to be ~125 (107 MH lots + 18 RV).</t>
        </is>
      </c>
    </row>
    <row r="124" ht="30" customHeight="1">
      <c r="B124" s="978" t="inlineStr">
        <is>
          <t>#2</t>
        </is>
      </c>
      <c r="C124" s="976" t="inlineStr">
        <is>
          <t>What is driving the ~24% decline in long-term RV lot rent across the T12?</t>
        </is>
      </c>
    </row>
    <row r="125" ht="30" customHeight="1">
      <c r="B125" s="978" t="inlineStr">
        <is>
          <t>#3</t>
        </is>
      </c>
      <c r="C125" s="976" t="inlineStr">
        <is>
          <t>Confirm current rent-roll rents (dated 03/01/26) versus actual T12 collections — the period mismatch inflates the underwritten bad-debt plug.</t>
        </is>
      </c>
    </row>
    <row r="126" ht="30" customHeight="1">
      <c r="B126" s="978" t="inlineStr">
        <is>
          <t>#4</t>
        </is>
      </c>
      <c r="C126" s="976" t="inlineStr">
        <is>
          <t>Is the casual-labour spike in the final two months ($10,400 x2) a staffing transition or a one-time project? Is there an on-site manager receiving a comped lot (Employee Allowance)?</t>
        </is>
      </c>
    </row>
    <row r="127" ht="30" customHeight="1">
      <c r="B127" s="978" t="inlineStr">
        <is>
          <t>#5</t>
        </is>
      </c>
      <c r="C127" s="976" t="inlineStr">
        <is>
          <t>Provide FEMA flood zone determination for this coastal parcel.</t>
        </is>
      </c>
    </row>
    <row r="128" ht="30" customHeight="1">
      <c r="B128" s="978" t="inlineStr">
        <is>
          <t>#6</t>
        </is>
      </c>
      <c r="C128" s="976" t="inlineStr">
        <is>
          <t>Provide Curry County parcel number / current assessed value to confirm Measure 50 tax treatment.</t>
        </is>
      </c>
    </row>
    <row r="129" ht="30" customHeight="1">
      <c r="B129" s="978" t="inlineStr">
        <is>
          <t>#7</t>
        </is>
      </c>
      <c r="C129" s="976" t="inlineStr">
        <is>
          <t>Confirm the water system is a private well and provide compliance/testing history and any capital requirements.</t>
        </is>
      </c>
    </row>
    <row r="130" ht="30" customHeight="1">
      <c r="B130" s="978" t="inlineStr">
        <is>
          <t>#8</t>
        </is>
      </c>
      <c r="C130" s="976" t="inlineStr">
        <is>
          <t>Clarify the 'Caldeira, Ken' rent-roll row (no unit number, RC=984) and reconcile the 124-tenant / 126-unit / 127-row discrepancy.</t>
        </is>
      </c>
    </row>
    <row r="131" ht="30" customHeight="1">
      <c r="B131" s="978" t="inlineStr">
        <is>
          <t>#9</t>
        </is>
      </c>
      <c r="C131" s="976" t="inlineStr">
        <is>
          <t>Is the Rental Pool Revenue Sharing ($22,774) a sustainable recurring stream, and why is the final month $0?</t>
        </is>
      </c>
    </row>
  </sheetData>
  <mergeCells count="78">
    <mergeCell ref="C31:E31"/>
    <mergeCell ref="C98:D98"/>
    <mergeCell ref="C129:E129"/>
    <mergeCell ref="C107:D107"/>
    <mergeCell ref="C21:E21"/>
    <mergeCell ref="B110:E110"/>
    <mergeCell ref="C123:E123"/>
    <mergeCell ref="C23:E23"/>
    <mergeCell ref="C7:E7"/>
    <mergeCell ref="C91:E91"/>
    <mergeCell ref="C105:D105"/>
    <mergeCell ref="B69:C69"/>
    <mergeCell ref="B86:E86"/>
    <mergeCell ref="C126:E126"/>
    <mergeCell ref="C128:E128"/>
    <mergeCell ref="C113:E113"/>
    <mergeCell ref="C20:E20"/>
    <mergeCell ref="C112:E112"/>
    <mergeCell ref="D34:E34"/>
    <mergeCell ref="C118:E118"/>
    <mergeCell ref="C22:E22"/>
    <mergeCell ref="C127:E127"/>
    <mergeCell ref="B33:E33"/>
    <mergeCell ref="C97:D97"/>
    <mergeCell ref="B51:E51"/>
    <mergeCell ref="C114:E114"/>
    <mergeCell ref="C130:E130"/>
    <mergeCell ref="C12:E12"/>
    <mergeCell ref="B25:E25"/>
    <mergeCell ref="B3:E3"/>
    <mergeCell ref="C125:E125"/>
    <mergeCell ref="B18:E18"/>
    <mergeCell ref="C13:E13"/>
    <mergeCell ref="C131:E131"/>
    <mergeCell ref="C87:E87"/>
    <mergeCell ref="C15:E15"/>
    <mergeCell ref="C89:E89"/>
    <mergeCell ref="C116:E116"/>
    <mergeCell ref="C88:E88"/>
    <mergeCell ref="C26:E26"/>
    <mergeCell ref="C102:D102"/>
    <mergeCell ref="C10:E10"/>
    <mergeCell ref="C16:E16"/>
    <mergeCell ref="C117:E117"/>
    <mergeCell ref="C108:D108"/>
    <mergeCell ref="C9:E9"/>
    <mergeCell ref="B95:E95"/>
    <mergeCell ref="C115:E115"/>
    <mergeCell ref="B52:C52"/>
    <mergeCell ref="C11:E11"/>
    <mergeCell ref="D52:E52"/>
    <mergeCell ref="C100:D100"/>
    <mergeCell ref="B122:E122"/>
    <mergeCell ref="C28:E28"/>
    <mergeCell ref="B34:C34"/>
    <mergeCell ref="B2:E2"/>
    <mergeCell ref="C92:E92"/>
    <mergeCell ref="C30:E30"/>
    <mergeCell ref="C106:D106"/>
    <mergeCell ref="C6:E6"/>
    <mergeCell ref="C14:E14"/>
    <mergeCell ref="D69:E69"/>
    <mergeCell ref="C101:D101"/>
    <mergeCell ref="C93:E93"/>
    <mergeCell ref="C124:E124"/>
    <mergeCell ref="C104:D104"/>
    <mergeCell ref="B5:E5"/>
    <mergeCell ref="C90:E90"/>
    <mergeCell ref="C27:E27"/>
    <mergeCell ref="C120:E120"/>
    <mergeCell ref="C103:D103"/>
    <mergeCell ref="C119:E119"/>
    <mergeCell ref="C8:E8"/>
    <mergeCell ref="C99:D99"/>
    <mergeCell ref="C19:E19"/>
    <mergeCell ref="C111:E111"/>
    <mergeCell ref="C29:E29"/>
    <mergeCell ref="C96:D9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87"/>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960" t="inlineStr">
        <is>
          <t>COMPS ANALYSIS — DETAILED COMPETITIVE SET</t>
        </is>
      </c>
    </row>
    <row r="3" ht="18" customHeight="1">
      <c r="B3" s="961" t="inlineStr">
        <is>
          <t>Rent comps, sale comps, statistics, and subject-vs-market positioning</t>
        </is>
      </c>
    </row>
    <row r="5" ht="22" customHeight="1">
      <c r="B5" s="962" t="inlineStr">
        <is>
          <t xml:space="preserve">  INVESTMENT CRITERIA CHECK  —  200 bps spread rule</t>
        </is>
      </c>
    </row>
    <row r="6" ht="28" customHeight="1">
      <c r="B6" s="979" t="inlineStr">
        <is>
          <t>Ingoing Cap Rate</t>
        </is>
      </c>
      <c r="C6" s="979" t="inlineStr">
        <is>
          <t>Stabilized Yield on Cost</t>
        </is>
      </c>
      <c r="D6" s="979" t="inlineStr">
        <is>
          <t>Spread (bps)</t>
        </is>
      </c>
      <c r="E6" s="979" t="inlineStr">
        <is>
          <t>Hurdle</t>
        </is>
      </c>
      <c r="F6" s="979" t="inlineStr">
        <is>
          <t>Verdict</t>
        </is>
      </c>
    </row>
    <row r="7" ht="42" customHeight="1">
      <c r="B7" s="980" t="n">
        <v>0.091</v>
      </c>
      <c r="C7" s="980" t="n">
        <v>0.09660000000000001</v>
      </c>
      <c r="D7" s="981" t="inlineStr">
        <is>
          <t>+56 bps</t>
        </is>
      </c>
      <c r="E7" s="982" t="inlineStr">
        <is>
          <t>≥ 200 bps</t>
        </is>
      </c>
      <c r="F7" s="983" t="inlineStr">
        <is>
          <t>✗ DOES NOT MEET INVESTMENT CRITERIA</t>
        </is>
      </c>
    </row>
    <row r="8" ht="36" customHeight="1">
      <c r="B8" s="984" t="inlineStr">
        <is>
          <t>Spread is 56 bps — 144 bps short of the 200 bps hurdle. GGC does not pay for value it's creating; this deal would require either a lower purchase price or a more aggressive stabilized plan to clear.</t>
        </is>
      </c>
    </row>
    <row r="11" ht="22" customHeight="1">
      <c r="B11" s="962" t="inlineStr">
        <is>
          <t xml:space="preserve">  SUBJECT vs MARKET — KEY METRICS</t>
        </is>
      </c>
    </row>
    <row r="12" ht="28" customHeight="1">
      <c r="B12" s="979" t="inlineStr">
        <is>
          <t>Metric</t>
        </is>
      </c>
      <c r="C12" s="979" t="inlineStr">
        <is>
          <t>Subject</t>
        </is>
      </c>
      <c r="D12" s="979" t="inlineStr">
        <is>
          <t>Comp Min</t>
        </is>
      </c>
      <c r="E12" s="979" t="inlineStr">
        <is>
          <t>Comp Max</t>
        </is>
      </c>
      <c r="F12" s="979" t="inlineStr">
        <is>
          <t>Comp Avg</t>
        </is>
      </c>
      <c r="G12" s="979" t="inlineStr">
        <is>
          <t>Comp Median</t>
        </is>
      </c>
      <c r="H12" s="979" t="inlineStr">
        <is>
          <t>Subject Position</t>
        </is>
      </c>
    </row>
    <row r="13" ht="18" customHeight="1">
      <c r="B13" s="963" t="inlineStr">
        <is>
          <t>Lot Rent ($/mo)</t>
        </is>
      </c>
      <c r="C13" s="985" t="n">
        <v>966.38</v>
      </c>
      <c r="D13" s="985" t="n">
        <v>575</v>
      </c>
      <c r="E13" s="985" t="n">
        <v>740</v>
      </c>
      <c r="F13" s="985" t="n">
        <v>618</v>
      </c>
      <c r="G13" s="985" t="n">
        <v>600</v>
      </c>
      <c r="H13" s="986" t="inlineStr">
        <is>
          <t>56.4% above avg</t>
        </is>
      </c>
    </row>
    <row r="14" ht="18" customHeight="1">
      <c r="B14" s="963" t="inlineStr">
        <is>
          <t># Sites</t>
        </is>
      </c>
      <c r="C14" s="987" t="n">
        <v>109</v>
      </c>
      <c r="D14" s="987" t="n">
        <v>20</v>
      </c>
      <c r="E14" s="987" t="n">
        <v>63</v>
      </c>
      <c r="F14" s="987" t="n">
        <v>44.6</v>
      </c>
      <c r="G14" s="987" t="n">
        <v>50</v>
      </c>
      <c r="H14" s="988" t="inlineStr"/>
    </row>
    <row r="15" ht="18" customHeight="1">
      <c r="B15" s="963" t="inlineStr">
        <is>
          <t>Occupancy</t>
        </is>
      </c>
      <c r="C15" s="989" t="n">
        <v>0.984</v>
      </c>
      <c r="D15" s="989" t="n">
        <v>1</v>
      </c>
      <c r="E15" s="989" t="n">
        <v>1</v>
      </c>
      <c r="F15" s="989" t="n">
        <v>1</v>
      </c>
      <c r="G15" s="989" t="n">
        <v>1</v>
      </c>
      <c r="H15" s="988" t="inlineStr"/>
    </row>
    <row r="18" ht="22" customHeight="1">
      <c r="B18" s="962" t="inlineStr">
        <is>
          <t xml:space="preserve">  RENT COMPS  (16 found)</t>
        </is>
      </c>
    </row>
    <row r="19" ht="28" customHeight="1">
      <c r="B19" s="979" t="inlineStr">
        <is>
          <t>Property</t>
        </is>
      </c>
      <c r="C19" s="979" t="inlineStr">
        <is>
          <t>Location</t>
        </is>
      </c>
      <c r="D19" s="979" t="inlineStr">
        <is>
          <t>Distance</t>
        </is>
      </c>
      <c r="E19" s="979" t="inlineStr">
        <is>
          <t># Sites</t>
        </is>
      </c>
      <c r="F19" s="979" t="inlineStr">
        <is>
          <t>Lot Rent</t>
        </is>
      </c>
      <c r="G19" s="979" t="inlineStr">
        <is>
          <t>Occupancy</t>
        </is>
      </c>
      <c r="H19" s="979" t="inlineStr">
        <is>
          <t>Year Built</t>
        </is>
      </c>
      <c r="I19" s="979" t="inlineStr">
        <is>
          <t>POH %</t>
        </is>
      </c>
      <c r="J19" s="979" t="inlineStr">
        <is>
          <t>Amenities</t>
        </is>
      </c>
      <c r="K19" s="979" t="inlineStr">
        <is>
          <t>Quality</t>
        </is>
      </c>
      <c r="L19" s="979" t="inlineStr">
        <is>
          <t>Source</t>
        </is>
      </c>
    </row>
    <row r="20" ht="30" customHeight="1">
      <c r="B20" s="990" t="inlineStr">
        <is>
          <t>Sunset View Mobile Home Park</t>
        </is>
      </c>
      <c r="C20" s="990" t="inlineStr">
        <is>
          <t>Brookings, OR</t>
        </is>
      </c>
      <c r="D20" s="991" t="inlineStr">
        <is>
          <t>7.0 mi</t>
        </is>
      </c>
      <c r="E20" s="992" t="n">
        <v>50</v>
      </c>
      <c r="F20" s="993" t="n">
        <v>740</v>
      </c>
      <c r="G20" s="994" t="n">
        <v>1</v>
      </c>
      <c r="H20" s="991" t="n">
        <v>1974</v>
      </c>
      <c r="I20" s="994" t="n"/>
      <c r="J20" s="995" t="inlineStr">
        <is>
          <t>Off-street parking, paved streets, WiFi, pet-friendly (under 20 lbs), 55+ age-re</t>
        </is>
      </c>
      <c r="K20" s="991" t="inlineStr">
        <is>
          <t>★★★</t>
        </is>
      </c>
      <c r="L20" s="990" t="inlineStr">
        <is>
          <t>https://www.mhvillage.com/parks/22374</t>
        </is>
      </c>
    </row>
    <row r="21" ht="30" customHeight="1">
      <c r="B21" s="996" t="inlineStr">
        <is>
          <t>Tamaroo Mobile Home Park</t>
        </is>
      </c>
      <c r="C21" s="996" t="inlineStr">
        <is>
          <t>Brookings, OR</t>
        </is>
      </c>
      <c r="D21" s="997" t="inlineStr">
        <is>
          <t>7.2 mi</t>
        </is>
      </c>
      <c r="E21" s="998" t="n"/>
      <c r="F21" s="999" t="n">
        <v>600</v>
      </c>
      <c r="G21" s="1000" t="n"/>
      <c r="H21" s="997" t="n"/>
      <c r="I21" s="1000" t="n"/>
      <c r="J21" s="1001" t="inlineStr">
        <is>
          <t>Paved average-width streets, well water, septic, off-street parking, 55+ age-res</t>
        </is>
      </c>
      <c r="K21" s="997" t="inlineStr">
        <is>
          <t>★★★</t>
        </is>
      </c>
      <c r="L21" s="996" t="inlineStr">
        <is>
          <t>https://www.mhbo.com/mobile-home-park/90764-tamaroo-mobile-home-park-16329-grootendorst-street-brookings-or-97415</t>
        </is>
      </c>
    </row>
    <row r="22" ht="30" customHeight="1">
      <c r="B22" s="990" t="inlineStr">
        <is>
          <t>Brookings Mobile Home Park</t>
        </is>
      </c>
      <c r="C22" s="990" t="inlineStr">
        <is>
          <t>Brookings, OR</t>
        </is>
      </c>
      <c r="D22" s="991" t="inlineStr">
        <is>
          <t>6.5 mi</t>
        </is>
      </c>
      <c r="E22" s="992" t="n"/>
      <c r="F22" s="993" t="n">
        <v>600</v>
      </c>
      <c r="G22" s="994" t="n"/>
      <c r="H22" s="991" t="n"/>
      <c r="I22" s="994" t="n"/>
      <c r="J22" s="995" t="inlineStr">
        <is>
          <t>All-ages, pet-friendly, city water/sewer, paved streets, near Hwy 101 and Chetco</t>
        </is>
      </c>
      <c r="K22" s="991" t="inlineStr">
        <is>
          <t>★★★</t>
        </is>
      </c>
      <c r="L22" s="990" t="inlineStr">
        <is>
          <t>https://www.mhbo.com/mobile-home-park/88472-brookings-mobile-home-park-16391-us-101-brookings-or-97415</t>
        </is>
      </c>
    </row>
    <row r="23" ht="30" customHeight="1">
      <c r="B23" s="996" t="inlineStr">
        <is>
          <t>Driftwood Estates</t>
        </is>
      </c>
      <c r="C23" s="996" t="inlineStr">
        <is>
          <t>Harbor (Brookings), OR</t>
        </is>
      </c>
      <c r="D23" s="997" t="inlineStr">
        <is>
          <t>8.0 mi</t>
        </is>
      </c>
      <c r="E23" s="998" t="n">
        <v>62</v>
      </c>
      <c r="F23" s="999" t="n">
        <v>575</v>
      </c>
      <c r="G23" s="1000" t="n"/>
      <c r="H23" s="997" t="n"/>
      <c r="I23" s="1000" t="n"/>
      <c r="J23" s="1001" t="inlineStr">
        <is>
          <t>55+ community, minutes from beach, near Port of Brookings Harbor</t>
        </is>
      </c>
      <c r="K23" s="997" t="inlineStr">
        <is>
          <t>★★★</t>
        </is>
      </c>
      <c r="L23" s="996" t="inlineStr">
        <is>
          <t>https://www.mobilehome.net/mobile-home-parks/59111-harbor-hills-mh-park-in-brookings-or</t>
        </is>
      </c>
    </row>
    <row r="24" ht="30" customHeight="1">
      <c r="B24" s="990" t="inlineStr">
        <is>
          <t>Harbor Hills MH Park</t>
        </is>
      </c>
      <c r="C24" s="990" t="inlineStr">
        <is>
          <t>Brookings, OR</t>
        </is>
      </c>
      <c r="D24" s="991" t="inlineStr">
        <is>
          <t>8.0 mi</t>
        </is>
      </c>
      <c r="E24" s="992" t="n">
        <v>28</v>
      </c>
      <c r="F24" s="993" t="n"/>
      <c r="G24" s="994" t="n"/>
      <c r="H24" s="991" t="n"/>
      <c r="I24" s="994" t="n"/>
      <c r="J24" s="995" t="inlineStr">
        <is>
          <t>Highway-frontage manufactured home community</t>
        </is>
      </c>
      <c r="K24" s="991" t="inlineStr">
        <is>
          <t>★★</t>
        </is>
      </c>
      <c r="L24" s="990" t="inlineStr">
        <is>
          <t>https://www.mhbo.com/mobile-home-park/76579-harbor-hills-mh-park-15765-highway-101-s-brookings-or-97415</t>
        </is>
      </c>
    </row>
    <row r="25" ht="30" customHeight="1">
      <c r="B25" s="996" t="inlineStr">
        <is>
          <t>Driftwood RV Park (long-term sites)</t>
        </is>
      </c>
      <c r="C25" s="996" t="inlineStr">
        <is>
          <t>Harbor, OR</t>
        </is>
      </c>
      <c r="D25" s="997" t="inlineStr">
        <is>
          <t>8.0 mi</t>
        </is>
      </c>
      <c r="E25" s="998" t="n"/>
      <c r="F25" s="999" t="n">
        <v>575</v>
      </c>
      <c r="G25" s="1000" t="n"/>
      <c r="H25" s="997" t="n"/>
      <c r="I25" s="1000" t="n"/>
      <c r="J25" s="1001" t="inlineStr">
        <is>
          <t>Full hookups (water/sewer/trash/cable/electric), clubhouse/banquet room, on-site</t>
        </is>
      </c>
      <c r="K25" s="997" t="inlineStr">
        <is>
          <t>★★★</t>
        </is>
      </c>
      <c r="L25" s="996" t="inlineStr">
        <is>
          <t>https://www.driftwoodrvpark.com/</t>
        </is>
      </c>
    </row>
    <row r="26" ht="30" customHeight="1">
      <c r="B26" s="990" t="inlineStr">
        <is>
          <t>Ocean View Mobile Estates</t>
        </is>
      </c>
      <c r="C26" s="990" t="inlineStr">
        <is>
          <t>Brookings, OR</t>
        </is>
      </c>
      <c r="D26" s="991" t="inlineStr">
        <is>
          <t>7.0 mi</t>
        </is>
      </c>
      <c r="E26" s="992" t="n"/>
      <c r="F26" s="993" t="n"/>
      <c r="G26" s="994" t="n"/>
      <c r="H26" s="991" t="n"/>
      <c r="I26" s="994" t="n"/>
      <c r="J26" s="995" t="inlineStr">
        <is>
          <t>Manufactured home community</t>
        </is>
      </c>
      <c r="K26" s="991" t="inlineStr"/>
      <c r="L26" s="990" t="inlineStr">
        <is>
          <t>https://www.mobilehome.net/mobile-home-park-directory/oregon/brookings</t>
        </is>
      </c>
    </row>
    <row r="27" ht="30" customHeight="1">
      <c r="B27" s="996" t="inlineStr">
        <is>
          <t>Pleasant Hill Mobile Estates</t>
        </is>
      </c>
      <c r="C27" s="996" t="inlineStr">
        <is>
          <t>Brookings, OR</t>
        </is>
      </c>
      <c r="D27" s="997" t="inlineStr">
        <is>
          <t>7.0 mi</t>
        </is>
      </c>
      <c r="E27" s="998" t="n"/>
      <c r="F27" s="999" t="n"/>
      <c r="G27" s="1000" t="n"/>
      <c r="H27" s="997" t="n"/>
      <c r="I27" s="1000" t="n"/>
      <c r="J27" s="1001" t="inlineStr">
        <is>
          <t>Manufactured home community</t>
        </is>
      </c>
      <c r="K27" s="997" t="inlineStr"/>
      <c r="L27" s="996" t="inlineStr">
        <is>
          <t>https://www.mobilehome.net/mobile-home-park-directory/oregon/brookings</t>
        </is>
      </c>
    </row>
    <row r="28" ht="30" customHeight="1">
      <c r="B28" s="990" t="inlineStr">
        <is>
          <t>Vista Hills Mobile Home Park</t>
        </is>
      </c>
      <c r="C28" s="990" t="inlineStr">
        <is>
          <t>Brookings, OR</t>
        </is>
      </c>
      <c r="D28" s="991" t="inlineStr">
        <is>
          <t>7.0 mi</t>
        </is>
      </c>
      <c r="E28" s="992" t="n"/>
      <c r="F28" s="993" t="n"/>
      <c r="G28" s="994" t="n"/>
      <c r="H28" s="991" t="n"/>
      <c r="I28" s="994" t="n"/>
      <c r="J28" s="995" t="inlineStr">
        <is>
          <t>Manufactured home community</t>
        </is>
      </c>
      <c r="K28" s="991" t="inlineStr"/>
      <c r="L28" s="990" t="inlineStr">
        <is>
          <t>https://www.mobilehomeparkstore.com/mobile-home-park-directory/oregon/brookings</t>
        </is>
      </c>
    </row>
    <row r="29" ht="30" customHeight="1">
      <c r="B29" s="996" t="inlineStr">
        <is>
          <t>Emerald Coast Estates</t>
        </is>
      </c>
      <c r="C29" s="996" t="inlineStr">
        <is>
          <t>Brookings, OR</t>
        </is>
      </c>
      <c r="D29" s="997" t="inlineStr">
        <is>
          <t>7.0 mi</t>
        </is>
      </c>
      <c r="E29" s="998" t="n"/>
      <c r="F29" s="999" t="n"/>
      <c r="G29" s="1000" t="n"/>
      <c r="H29" s="997" t="n"/>
      <c r="I29" s="1000" t="n"/>
      <c r="J29" s="1001" t="inlineStr">
        <is>
          <t>Gated premier 55+ community, newer Energy Star homes</t>
        </is>
      </c>
      <c r="K29" s="997" t="inlineStr">
        <is>
          <t>★★★★</t>
        </is>
      </c>
      <c r="L29" s="996" t="inlineStr">
        <is>
          <t>https://www.redfin.com/city/23199/OR/Harbor</t>
        </is>
      </c>
    </row>
    <row r="30" ht="30" customHeight="1">
      <c r="B30" s="990" t="inlineStr">
        <is>
          <t>Rainbow Rock Village</t>
        </is>
      </c>
      <c r="C30" s="990" t="inlineStr">
        <is>
          <t>Brookings, OR</t>
        </is>
      </c>
      <c r="D30" s="991" t="inlineStr">
        <is>
          <t>9.0 mi</t>
        </is>
      </c>
      <c r="E30" s="992" t="n"/>
      <c r="F30" s="993" t="n"/>
      <c r="G30" s="994" t="n"/>
      <c r="H30" s="991" t="n"/>
      <c r="I30" s="994" t="n"/>
      <c r="J30" s="995" t="inlineStr">
        <is>
          <t>Oceanfront/north-county manufactured community</t>
        </is>
      </c>
      <c r="K30" s="991" t="inlineStr"/>
      <c r="L30" s="990" t="inlineStr">
        <is>
          <t>https://www.mobilehomeparkstore.com/mobile-home-park-directory/oregon/brookings</t>
        </is>
      </c>
    </row>
    <row r="31" ht="30" customHeight="1">
      <c r="B31" s="996" t="inlineStr">
        <is>
          <t>Tonopah Mobile Home Village</t>
        </is>
      </c>
      <c r="C31" s="996" t="inlineStr">
        <is>
          <t>Brookings, OR</t>
        </is>
      </c>
      <c r="D31" s="997" t="inlineStr">
        <is>
          <t>7.0 mi</t>
        </is>
      </c>
      <c r="E31" s="998" t="n"/>
      <c r="F31" s="999" t="n"/>
      <c r="G31" s="1000" t="n"/>
      <c r="H31" s="997" t="n"/>
      <c r="I31" s="1000" t="n"/>
      <c r="J31" s="1001" t="inlineStr">
        <is>
          <t>Manufactured home community</t>
        </is>
      </c>
      <c r="K31" s="997" t="inlineStr"/>
      <c r="L31" s="996" t="inlineStr">
        <is>
          <t>https://www.mhbay.com/mobile-home-park-directory/oregon/brookings</t>
        </is>
      </c>
    </row>
    <row r="32" ht="30" customHeight="1">
      <c r="B32" s="990" t="inlineStr">
        <is>
          <t>Mountain View MH Park</t>
        </is>
      </c>
      <c r="C32" s="990" t="inlineStr">
        <is>
          <t>Brookings, OR</t>
        </is>
      </c>
      <c r="D32" s="991" t="inlineStr">
        <is>
          <t>7.0 mi</t>
        </is>
      </c>
      <c r="E32" s="992" t="n"/>
      <c r="F32" s="993" t="n"/>
      <c r="G32" s="994" t="n"/>
      <c r="H32" s="991" t="n"/>
      <c r="I32" s="994" t="n"/>
      <c r="J32" s="995" t="inlineStr">
        <is>
          <t>Manufactured home community</t>
        </is>
      </c>
      <c r="K32" s="991" t="inlineStr"/>
      <c r="L32" s="990" t="inlineStr">
        <is>
          <t>https://www.mobilehomeparkstore.com/mobile-home-park-directory/oregon/brookings</t>
        </is>
      </c>
    </row>
    <row r="33" ht="30" customHeight="1">
      <c r="B33" s="996" t="inlineStr">
        <is>
          <t>River Hills Estates</t>
        </is>
      </c>
      <c r="C33" s="996" t="inlineStr">
        <is>
          <t>Gold Beach, OR</t>
        </is>
      </c>
      <c r="D33" s="997" t="inlineStr">
        <is>
          <t>21.0 mi</t>
        </is>
      </c>
      <c r="E33" s="998" t="n"/>
      <c r="F33" s="999" t="n"/>
      <c r="G33" s="1000" t="n"/>
      <c r="H33" s="997" t="n"/>
      <c r="I33" s="1000" t="n"/>
      <c r="J33" s="1001" t="inlineStr">
        <is>
          <t>All-age community along the Rogue River corridor</t>
        </is>
      </c>
      <c r="K33" s="997" t="inlineStr"/>
      <c r="L33" s="996" t="inlineStr">
        <is>
          <t>https://www.mobilehome.net/mobile-home-parks/59111-harbor-hills-mh-park-in-brookings-or</t>
        </is>
      </c>
    </row>
    <row r="34" ht="30" customHeight="1">
      <c r="B34" s="990" t="inlineStr">
        <is>
          <t>Rogue Pacific MHP</t>
        </is>
      </c>
      <c r="C34" s="990" t="inlineStr">
        <is>
          <t>Gold Beach, OR</t>
        </is>
      </c>
      <c r="D34" s="991" t="inlineStr">
        <is>
          <t>21.0 mi</t>
        </is>
      </c>
      <c r="E34" s="992" t="n">
        <v>63</v>
      </c>
      <c r="F34" s="993" t="n"/>
      <c r="G34" s="994" t="n"/>
      <c r="H34" s="991" t="n"/>
      <c r="I34" s="994" t="n"/>
      <c r="J34" s="995" t="inlineStr">
        <is>
          <t>Manufactured home community near coast</t>
        </is>
      </c>
      <c r="K34" s="991" t="inlineStr"/>
      <c r="L34" s="990" t="inlineStr">
        <is>
          <t>https://www.mobilehome.net/mobile-home-parks/59111-harbor-hills-mh-park-in-brookings-or</t>
        </is>
      </c>
    </row>
    <row r="35" ht="30" customHeight="1">
      <c r="B35" s="996" t="inlineStr">
        <is>
          <t>Riverview Village MHP</t>
        </is>
      </c>
      <c r="C35" s="996" t="inlineStr">
        <is>
          <t>Gold Beach, OR</t>
        </is>
      </c>
      <c r="D35" s="997" t="inlineStr">
        <is>
          <t>23.0 mi</t>
        </is>
      </c>
      <c r="E35" s="998" t="n">
        <v>20</v>
      </c>
      <c r="F35" s="999" t="n"/>
      <c r="G35" s="1000" t="n"/>
      <c r="H35" s="997" t="n"/>
      <c r="I35" s="1000" t="n"/>
      <c r="J35" s="1001" t="inlineStr">
        <is>
          <t>Riverside manufactured home community</t>
        </is>
      </c>
      <c r="K35" s="997" t="inlineStr"/>
      <c r="L35" s="996" t="inlineStr">
        <is>
          <t>https://www.mobilehome.net/mobile-home-parks/59111-harbor-hills-mh-park-in-brookings-or</t>
        </is>
      </c>
    </row>
    <row r="36" ht="20" customHeight="1">
      <c r="B36" s="1002" t="inlineStr">
        <is>
          <t>STATISTICS</t>
        </is>
      </c>
      <c r="C36" s="1003" t="inlineStr"/>
      <c r="D36" s="1004" t="inlineStr">
        <is>
          <t>Range:</t>
        </is>
      </c>
      <c r="E36" s="972" t="inlineStr">
        <is>
          <t>20-63</t>
        </is>
      </c>
      <c r="F36" s="972" t="inlineStr">
        <is>
          <t>$575-$740</t>
        </is>
      </c>
    </row>
    <row r="37">
      <c r="D37" s="1004" t="inlineStr">
        <is>
          <t>Average:</t>
        </is>
      </c>
      <c r="E37" s="972" t="inlineStr">
        <is>
          <t>45</t>
        </is>
      </c>
      <c r="F37" s="972" t="inlineStr">
        <is>
          <t>$618</t>
        </is>
      </c>
      <c r="G37" s="972" t="inlineStr">
        <is>
          <t>100.0%</t>
        </is>
      </c>
    </row>
    <row r="38" ht="22" customHeight="1">
      <c r="B38" s="962" t="inlineStr">
        <is>
          <t xml:space="preserve">  MARKET RENT CONCLUSION</t>
        </is>
      </c>
    </row>
    <row r="39" ht="60" customHeight="1">
      <c r="B39" s="1005" t="inlineStr">
        <is>
          <t>Brookings-area lot/space rents cluster in a 450-750 monthly band, with Brookings Mobile Home Park at 450-750, Tamaroo at 475-725, and Sunset View posting an average of 740 with zero vacant sites. The subject's 109 sites sit at the larger end of a market dominated by sub-65-site parks, giving it scarcity value. Assuming the subject is currently positioned mid-band (~650), there is realistic upside of 50-100 per site toward the 740-750 ceiling already proven by occupied competitors, implying roughly 65,000-130,000 of annual revenue lift at full occupancy. Coastal demand and minimal new MHP supply support pushing rents to the top of the prevailing range over time.</t>
        </is>
      </c>
    </row>
    <row r="41" ht="22" customHeight="1">
      <c r="B41" s="962" t="inlineStr">
        <is>
          <t xml:space="preserve">  SALE COMPS  (10 found)</t>
        </is>
      </c>
    </row>
    <row r="42" ht="28" customHeight="1">
      <c r="B42" s="979" t="inlineStr">
        <is>
          <t>Property</t>
        </is>
      </c>
      <c r="C42" s="979" t="inlineStr">
        <is>
          <t>Location</t>
        </is>
      </c>
      <c r="D42" s="979" t="inlineStr">
        <is>
          <t>Sale Date</t>
        </is>
      </c>
      <c r="E42" s="979" t="inlineStr">
        <is>
          <t># Sites</t>
        </is>
      </c>
      <c r="F42" s="979" t="inlineStr">
        <is>
          <t>Sale Price</t>
        </is>
      </c>
      <c r="G42" s="979" t="inlineStr">
        <is>
          <t>$ / Unit</t>
        </is>
      </c>
      <c r="H42" s="979" t="inlineStr">
        <is>
          <t>Cap Rate</t>
        </is>
      </c>
      <c r="I42" s="979" t="inlineStr">
        <is>
          <t>NOI</t>
        </is>
      </c>
      <c r="J42" s="979" t="inlineStr">
        <is>
          <t>Buyer</t>
        </is>
      </c>
      <c r="K42" s="979" t="inlineStr">
        <is>
          <t>Seller</t>
        </is>
      </c>
      <c r="L42" s="979" t="inlineStr">
        <is>
          <t>Source</t>
        </is>
      </c>
    </row>
    <row r="43" ht="18" customHeight="1">
      <c r="B43" s="990" t="inlineStr">
        <is>
          <t>Coos Bay Mobile Home Park (12-unit)</t>
        </is>
      </c>
      <c r="C43" s="990" t="inlineStr">
        <is>
          <t>Coos Bay, OR</t>
        </is>
      </c>
      <c r="D43" s="991" t="inlineStr">
        <is>
          <t>05/26</t>
        </is>
      </c>
      <c r="E43" s="992" t="n">
        <v>12</v>
      </c>
      <c r="F43" s="993" t="n">
        <v>1600000</v>
      </c>
      <c r="G43" s="993" t="n">
        <v>133333</v>
      </c>
      <c r="H43" s="1006" t="n"/>
      <c r="I43" s="993" t="n"/>
      <c r="J43" s="990" t="n"/>
      <c r="K43" s="990" t="n"/>
      <c r="L43" s="990" t="inlineStr">
        <is>
          <t>https://www.loopnet.com/search/mobile-home-parks/or/for-sale/</t>
        </is>
      </c>
    </row>
    <row r="44" ht="18" customHeight="1">
      <c r="B44" s="996" t="inlineStr">
        <is>
          <t>Lebanon Mobile Home Park (36-unit)</t>
        </is>
      </c>
      <c r="C44" s="996" t="inlineStr">
        <is>
          <t>Lebanon, OR</t>
        </is>
      </c>
      <c r="D44" s="997" t="inlineStr">
        <is>
          <t>05/26</t>
        </is>
      </c>
      <c r="E44" s="998" t="n">
        <v>36</v>
      </c>
      <c r="F44" s="999" t="n">
        <v>2045000</v>
      </c>
      <c r="G44" s="999" t="n">
        <v>56806</v>
      </c>
      <c r="H44" s="1007" t="n">
        <v>0.05</v>
      </c>
      <c r="I44" s="999" t="n">
        <v>102250</v>
      </c>
      <c r="J44" s="996" t="n"/>
      <c r="K44" s="996" t="n"/>
      <c r="L44" s="996" t="inlineStr">
        <is>
          <t>https://www.loopnet.com/search/mobile-home-parks/or/for-sale/</t>
        </is>
      </c>
    </row>
    <row r="45" ht="18" customHeight="1">
      <c r="B45" s="990" t="inlineStr">
        <is>
          <t>Keizer Mobile Home Park (14-unit)</t>
        </is>
      </c>
      <c r="C45" s="990" t="inlineStr">
        <is>
          <t>Keizer, OR</t>
        </is>
      </c>
      <c r="D45" s="991" t="inlineStr">
        <is>
          <t>05/26</t>
        </is>
      </c>
      <c r="E45" s="992" t="n">
        <v>14</v>
      </c>
      <c r="F45" s="993" t="n">
        <v>1237000</v>
      </c>
      <c r="G45" s="993" t="n">
        <v>88357</v>
      </c>
      <c r="H45" s="1006" t="n">
        <v>0.05</v>
      </c>
      <c r="I45" s="993" t="n">
        <v>61850</v>
      </c>
      <c r="J45" s="990" t="n"/>
      <c r="K45" s="990" t="n"/>
      <c r="L45" s="990" t="inlineStr">
        <is>
          <t>https://www.loopnet.com/search/mobile-home-parks/or/for-sale/</t>
        </is>
      </c>
    </row>
    <row r="46" ht="18" customHeight="1">
      <c r="B46" s="996" t="inlineStr">
        <is>
          <t>Tillamook Mobile Home Park (27-unit)</t>
        </is>
      </c>
      <c r="C46" s="996" t="inlineStr">
        <is>
          <t>Tillamook, OR</t>
        </is>
      </c>
      <c r="D46" s="997" t="inlineStr">
        <is>
          <t>05/26</t>
        </is>
      </c>
      <c r="E46" s="998" t="n">
        <v>27</v>
      </c>
      <c r="F46" s="999" t="n">
        <v>2700000</v>
      </c>
      <c r="G46" s="999" t="n">
        <v>100000</v>
      </c>
      <c r="H46" s="1007" t="n"/>
      <c r="I46" s="999" t="n"/>
      <c r="J46" s="996" t="n"/>
      <c r="K46" s="996" t="n"/>
      <c r="L46" s="996" t="inlineStr">
        <is>
          <t>https://www.loopnet.com/search/mobile-home-parks/or/for-sale/</t>
        </is>
      </c>
    </row>
    <row r="47" ht="18" customHeight="1">
      <c r="B47" s="990" t="inlineStr">
        <is>
          <t>Central Point Mobile Home Park (25-unit)</t>
        </is>
      </c>
      <c r="C47" s="990" t="inlineStr">
        <is>
          <t>Central Point, OR</t>
        </is>
      </c>
      <c r="D47" s="991" t="inlineStr">
        <is>
          <t>05/26</t>
        </is>
      </c>
      <c r="E47" s="992" t="n">
        <v>25</v>
      </c>
      <c r="F47" s="993" t="n">
        <v>1995000</v>
      </c>
      <c r="G47" s="993" t="n">
        <v>79800</v>
      </c>
      <c r="H47" s="1006" t="n"/>
      <c r="I47" s="993" t="n"/>
      <c r="J47" s="990" t="n"/>
      <c r="K47" s="990" t="n"/>
      <c r="L47" s="990" t="inlineStr">
        <is>
          <t>https://www.loopnet.com/search/mobile-home-parks/or/for-sale/</t>
        </is>
      </c>
    </row>
    <row r="48" ht="18" customHeight="1">
      <c r="B48" s="996" t="inlineStr">
        <is>
          <t>Willamina Mobile Home Park (3-unit)</t>
        </is>
      </c>
      <c r="C48" s="996" t="inlineStr">
        <is>
          <t>Willamina, OR</t>
        </is>
      </c>
      <c r="D48" s="997" t="inlineStr">
        <is>
          <t>05/26</t>
        </is>
      </c>
      <c r="E48" s="998" t="n">
        <v>3</v>
      </c>
      <c r="F48" s="999" t="n">
        <v>365000</v>
      </c>
      <c r="G48" s="999" t="n">
        <v>121667</v>
      </c>
      <c r="H48" s="1007" t="n">
        <v>0.083</v>
      </c>
      <c r="I48" s="999" t="n">
        <v>30295</v>
      </c>
      <c r="J48" s="996" t="n"/>
      <c r="K48" s="996" t="n"/>
      <c r="L48" s="996" t="inlineStr">
        <is>
          <t>https://www.loopnet.com/search/mobile-home-parks/or/for-sale/</t>
        </is>
      </c>
    </row>
    <row r="49" ht="18" customHeight="1">
      <c r="B49" s="990" t="inlineStr">
        <is>
          <t>Vale Mobile Home Park</t>
        </is>
      </c>
      <c r="C49" s="990" t="inlineStr">
        <is>
          <t>Vale, OR</t>
        </is>
      </c>
      <c r="D49" s="991" t="inlineStr">
        <is>
          <t>05/26</t>
        </is>
      </c>
      <c r="E49" s="992" t="n"/>
      <c r="F49" s="993" t="n">
        <v>4175000</v>
      </c>
      <c r="G49" s="993" t="n"/>
      <c r="H49" s="1006" t="n">
        <v>0.05</v>
      </c>
      <c r="I49" s="993" t="n">
        <v>208750</v>
      </c>
      <c r="J49" s="990" t="n"/>
      <c r="K49" s="990" t="n"/>
      <c r="L49" s="990" t="inlineStr">
        <is>
          <t>https://www.loopnet.com/search/mobile-home-parks/or/for-sale/</t>
        </is>
      </c>
    </row>
    <row r="50" ht="18" customHeight="1">
      <c r="B50" s="996" t="inlineStr">
        <is>
          <t>Rogue River Mobile Estates</t>
        </is>
      </c>
      <c r="C50" s="996" t="inlineStr">
        <is>
          <t>Rogue River / Grants Pass, OR</t>
        </is>
      </c>
      <c r="D50" s="997" t="inlineStr">
        <is>
          <t>02/25</t>
        </is>
      </c>
      <c r="E50" s="998" t="n">
        <v>10</v>
      </c>
      <c r="F50" s="999" t="n"/>
      <c r="G50" s="999" t="n"/>
      <c r="H50" s="1007" t="n">
        <v>0.06</v>
      </c>
      <c r="I50" s="999" t="n"/>
      <c r="J50" s="996" t="n"/>
      <c r="K50" s="996" t="n"/>
      <c r="L50" s="996" t="inlineStr">
        <is>
          <t>https://nwparks.com/listingsind.php?id_listing=92</t>
        </is>
      </c>
    </row>
    <row r="51" ht="18" customHeight="1">
      <c r="B51" s="990" t="inlineStr">
        <is>
          <t>7059 Rogue River Hwy (5-Acre MHP)</t>
        </is>
      </c>
      <c r="C51" s="990" t="inlineStr">
        <is>
          <t>Grants Pass, OR</t>
        </is>
      </c>
      <c r="D51" s="991" t="inlineStr">
        <is>
          <t>02/25</t>
        </is>
      </c>
      <c r="E51" s="992" t="n">
        <v>10</v>
      </c>
      <c r="F51" s="993" t="n"/>
      <c r="G51" s="993" t="n"/>
      <c r="H51" s="1006" t="n">
        <v>0.06</v>
      </c>
      <c r="I51" s="993" t="n"/>
      <c r="J51" s="990" t="n"/>
      <c r="K51" s="990" t="n"/>
      <c r="L51" s="990" t="inlineStr">
        <is>
          <t>https://www.loopnet.com/Listing/7059-Rogue-River-Hwy-Grants-Pass-OR/32384003/</t>
        </is>
      </c>
    </row>
    <row r="52" ht="18" customHeight="1">
      <c r="B52" s="996" t="inlineStr">
        <is>
          <t>Coos Bay Mobile Home Park (11-unit)</t>
        </is>
      </c>
      <c r="C52" s="996" t="inlineStr">
        <is>
          <t>Coos Bay, OR</t>
        </is>
      </c>
      <c r="D52" s="997" t="inlineStr">
        <is>
          <t>05/26</t>
        </is>
      </c>
      <c r="E52" s="998" t="n">
        <v>11</v>
      </c>
      <c r="F52" s="999" t="n"/>
      <c r="G52" s="999" t="n"/>
      <c r="H52" s="1007" t="n">
        <v>0.0815</v>
      </c>
      <c r="I52" s="999" t="n"/>
      <c r="J52" s="996" t="n"/>
      <c r="K52" s="996" t="n"/>
      <c r="L52" s="996" t="inlineStr">
        <is>
          <t>https://www.loopnet.com/search/mobile-home-parks/coos-bay-or/for-sale/</t>
        </is>
      </c>
    </row>
    <row r="53" ht="20" customHeight="1">
      <c r="B53" s="1002" t="inlineStr">
        <is>
          <t>STATISTICS</t>
        </is>
      </c>
      <c r="F53" s="1004" t="inlineStr">
        <is>
          <t>Avg $/Unit:</t>
        </is>
      </c>
      <c r="G53" s="972" t="inlineStr">
        <is>
          <t>$96,660</t>
        </is>
      </c>
      <c r="H53" s="1004" t="inlineStr">
        <is>
          <t>Avg Cap:</t>
        </is>
      </c>
      <c r="I53" s="972" t="inlineStr">
        <is>
          <t>6.21%</t>
        </is>
      </c>
    </row>
    <row r="55" ht="22" customHeight="1">
      <c r="B55" s="962" t="inlineStr">
        <is>
          <t xml:space="preserve">  IMPLIED VALUATION USING COMP SET</t>
        </is>
      </c>
    </row>
    <row r="56" ht="18" customHeight="1">
      <c r="B56" s="963" t="inlineStr">
        <is>
          <t>Asking Price</t>
        </is>
      </c>
      <c r="C56" s="985" t="n">
        <v>10000000</v>
      </c>
    </row>
    <row r="57" ht="18" customHeight="1">
      <c r="B57" s="963" t="inlineStr">
        <is>
          <t>Asking $ / Unit</t>
        </is>
      </c>
      <c r="C57" s="985" t="n">
        <v>91743.11926605504</v>
      </c>
    </row>
    <row r="58" ht="18" customHeight="1">
      <c r="B58" s="963" t="inlineStr">
        <is>
          <t>Comp Avg $ / Unit</t>
        </is>
      </c>
      <c r="C58" s="985" t="n">
        <v>96660.5</v>
      </c>
    </row>
    <row r="59" ht="18" customHeight="1">
      <c r="B59" s="963" t="inlineStr">
        <is>
          <t>Comp Cap (trimmed mean, N=7)</t>
        </is>
      </c>
      <c r="C59" s="1008" t="n">
        <v>0.0603</v>
      </c>
    </row>
    <row r="60" ht="22" customHeight="1">
      <c r="B60" s="962" t="inlineStr">
        <is>
          <t xml:space="preserve">  MARKET CAP RATE CONCLUSION</t>
        </is>
      </c>
    </row>
    <row r="61" ht="60" customHeight="1">
      <c r="B61" s="1005" t="inlineStr">
        <is>
          <t>Regional Oregon MHP pricing is bifurcated: stabilized Willamette Valley and coastal listings trade tight at ~5.0% (Lebanon 36-unit and Keizer 14-unit both at 5.0%, Vale at 5.0%), while smaller inland/value-add deals price wider at 6.0%-8.6% (Rogue River parks near 6.0%, a Coos Bay 11-unit at 8.15%, Willamina at 8.3%). Price-per-unit ranges broadly from ~57,000 (Lebanon) to ~133,000 (Coos Bay 12-unit). Given the subject's coastal location, larger scale, and partial RV/resort component, a market cap rate in the 6.0%-7.0% range is the most defensible underwriting target, with the lower end achievable only on fully stabilized lot-rent income.</t>
        </is>
      </c>
    </row>
    <row r="63" ht="22" customHeight="1">
      <c r="B63" s="962" t="inlineStr">
        <is>
          <t xml:space="preserve">  DEMOGRAPHICS — DEEP DIVE</t>
        </is>
      </c>
    </row>
    <row r="64" ht="18" customHeight="1">
      <c r="B64" s="963" t="inlineStr">
        <is>
          <t>County</t>
        </is>
      </c>
      <c r="C64" s="971" t="inlineStr">
        <is>
          <t>Curry County, OR (Brookings, OR Micropolitan Statistical Area)</t>
        </is>
      </c>
    </row>
    <row r="65" ht="18" customHeight="1">
      <c r="B65" s="963" t="inlineStr">
        <is>
          <t>Total Population</t>
        </is>
      </c>
      <c r="C65" s="971" t="n">
        <v>21776</v>
      </c>
    </row>
    <row r="66" ht="18" customHeight="1">
      <c r="B66" s="963" t="inlineStr">
        <is>
          <t>1-Year Pop Growth</t>
        </is>
      </c>
      <c r="C66" s="971" t="inlineStr">
        <is>
          <t>-2.2%</t>
        </is>
      </c>
    </row>
    <row r="67" ht="18" customHeight="1">
      <c r="B67" s="963" t="inlineStr">
        <is>
          <t>5-Year Pop Growth</t>
        </is>
      </c>
      <c r="C67" s="971" t="inlineStr">
        <is>
          <t>-4.0%</t>
        </is>
      </c>
    </row>
    <row r="68" ht="18" customHeight="1">
      <c r="B68" s="963" t="inlineStr">
        <is>
          <t>10-Year Pop Growth</t>
        </is>
      </c>
      <c r="C68" s="971" t="inlineStr">
        <is>
          <t>-2.7%</t>
        </is>
      </c>
    </row>
    <row r="69" ht="18" customHeight="1">
      <c r="B69" s="963" t="inlineStr">
        <is>
          <t>5-Yr Population Projection</t>
        </is>
      </c>
      <c r="C69" s="971" t="n"/>
    </row>
    <row r="70" ht="18" customHeight="1">
      <c r="B70" s="963" t="inlineStr">
        <is>
          <t>Median HH Income</t>
        </is>
      </c>
      <c r="C70" s="971" t="inlineStr">
        <is>
          <t>$62,244</t>
        </is>
      </c>
    </row>
    <row r="71" ht="18" customHeight="1">
      <c r="B71" s="963" t="inlineStr">
        <is>
          <t>5-Year Income Growth</t>
        </is>
      </c>
      <c r="C71" s="971" t="inlineStr">
        <is>
          <t>7.5%</t>
        </is>
      </c>
    </row>
    <row r="72" ht="18" customHeight="1">
      <c r="B72" s="963" t="inlineStr">
        <is>
          <t>Unemployment (Current)</t>
        </is>
      </c>
      <c r="C72" s="971" t="inlineStr">
        <is>
          <t>5.4%</t>
        </is>
      </c>
    </row>
    <row r="73" ht="18" customHeight="1">
      <c r="B73" s="963" t="inlineStr">
        <is>
          <t>Unemployment (1yr Ago)</t>
        </is>
      </c>
      <c r="C73" s="971" t="inlineStr">
        <is>
          <t>5.0%</t>
        </is>
      </c>
    </row>
    <row r="74" ht="18" customHeight="1">
      <c r="B74" s="963" t="inlineStr">
        <is>
          <t>Poverty Rate</t>
        </is>
      </c>
      <c r="C74" s="971" t="inlineStr">
        <is>
          <t>15.2%</t>
        </is>
      </c>
    </row>
    <row r="75" ht="18" customHeight="1">
      <c r="B75" s="963" t="inlineStr">
        <is>
          <t>% HHs Earning &lt; $50K</t>
        </is>
      </c>
      <c r="C75" s="971" t="inlineStr">
        <is>
          <t>40.0%</t>
        </is>
      </c>
    </row>
    <row r="76" ht="18" customHeight="1">
      <c r="B76" s="963" t="inlineStr">
        <is>
          <t>Major Industries</t>
        </is>
      </c>
      <c r="C76" s="971" t="inlineStr">
        <is>
          <t>Commercial fishing &amp; seafood processing (crab, salmon, tuna), Healthcare, Timber / wood products &amp; logging, Retail, Tourism, Public sector / government</t>
        </is>
      </c>
    </row>
    <row r="77" ht="18" customHeight="1">
      <c r="B77" s="963" t="inlineStr">
        <is>
          <t>Planned Developments</t>
        </is>
      </c>
      <c r="C77" s="971" t="inlineStr">
        <is>
          <t>No large factory or base projects identified. Growth driver is in-migration of retirees and remote workers from California and the PNW drawn by the mild 'Banana Belt' climate and low cost of living; new housing construction is limited given the city's geographic isolation. Healthcare (Curry Health Network) remains the principal institutional anchor.</t>
        </is>
      </c>
    </row>
    <row r="79" ht="22" customHeight="1">
      <c r="B79" s="1009" t="inlineStr">
        <is>
          <t>TOP EMPLOYERS</t>
        </is>
      </c>
    </row>
    <row r="80" ht="18" customHeight="1">
      <c r="B80" s="978" t="inlineStr">
        <is>
          <t>#1</t>
        </is>
      </c>
      <c r="C80" s="971" t="inlineStr">
        <is>
          <t>Curry Health Network / Curry Medical Center (Brookings) &amp; Curry General Hospital (Gold Beach)</t>
        </is>
      </c>
    </row>
    <row r="81" ht="18" customHeight="1">
      <c r="B81" s="978" t="inlineStr">
        <is>
          <t>#2</t>
        </is>
      </c>
      <c r="C81" s="971" t="inlineStr">
        <is>
          <t>Brookings-Harbor School District 17C</t>
        </is>
      </c>
    </row>
    <row r="82" ht="18" customHeight="1">
      <c r="B82" s="978" t="inlineStr">
        <is>
          <t>#3</t>
        </is>
      </c>
      <c r="C82" s="971" t="inlineStr">
        <is>
          <t>Curry County government</t>
        </is>
      </c>
    </row>
    <row r="83" ht="18" customHeight="1">
      <c r="B83" s="978" t="inlineStr">
        <is>
          <t>#4</t>
        </is>
      </c>
      <c r="C83" s="971" t="inlineStr">
        <is>
          <t>City of Brookings</t>
        </is>
      </c>
    </row>
    <row r="84" ht="18" customHeight="1">
      <c r="B84" s="978" t="inlineStr">
        <is>
          <t>#5</t>
        </is>
      </c>
      <c r="C84" s="971" t="inlineStr">
        <is>
          <t>Port of Brookings Harbor commercial fishing fleet (crab/salmon/tuna)</t>
        </is>
      </c>
    </row>
    <row r="85" ht="18" customHeight="1">
      <c r="B85" s="978" t="inlineStr">
        <is>
          <t>#6</t>
        </is>
      </c>
      <c r="C85" s="971" t="inlineStr">
        <is>
          <t>Fred Meyer and local retail</t>
        </is>
      </c>
    </row>
    <row r="86" ht="18" customHeight="1">
      <c r="B86" s="978" t="inlineStr">
        <is>
          <t>#7</t>
        </is>
      </c>
      <c r="C86" s="971" t="inlineStr">
        <is>
          <t>Sutter Coast Hospital (Crescent City, CA - regional)</t>
        </is>
      </c>
    </row>
    <row r="87" ht="18" customHeight="1">
      <c r="B87" s="978" t="inlineStr">
        <is>
          <t>#8</t>
        </is>
      </c>
      <c r="C87" s="971" t="inlineStr">
        <is>
          <t>OSU Extension / Southwestern Oregon Community College</t>
        </is>
      </c>
    </row>
  </sheetData>
  <mergeCells count="38">
    <mergeCell ref="C76:L76"/>
    <mergeCell ref="C71:L71"/>
    <mergeCell ref="C70:L70"/>
    <mergeCell ref="B3:L3"/>
    <mergeCell ref="C82:L82"/>
    <mergeCell ref="C67:L67"/>
    <mergeCell ref="C81:L81"/>
    <mergeCell ref="C72:L72"/>
    <mergeCell ref="B18:L18"/>
    <mergeCell ref="C66:L66"/>
    <mergeCell ref="C69:L69"/>
    <mergeCell ref="C87:L87"/>
    <mergeCell ref="B39:L39"/>
    <mergeCell ref="B11:L11"/>
    <mergeCell ref="B2:L2"/>
    <mergeCell ref="C68:L68"/>
    <mergeCell ref="C77:L77"/>
    <mergeCell ref="C83:L83"/>
    <mergeCell ref="C86:L86"/>
    <mergeCell ref="B60:L60"/>
    <mergeCell ref="B61:L61"/>
    <mergeCell ref="B8:L8"/>
    <mergeCell ref="C74:L74"/>
    <mergeCell ref="F6:L6"/>
    <mergeCell ref="B38:L38"/>
    <mergeCell ref="C73:L73"/>
    <mergeCell ref="F7:L7"/>
    <mergeCell ref="C64:L64"/>
    <mergeCell ref="C65:L65"/>
    <mergeCell ref="C85:L85"/>
    <mergeCell ref="C80:L80"/>
    <mergeCell ref="C75:L75"/>
    <mergeCell ref="C84:L84"/>
    <mergeCell ref="B55:L55"/>
    <mergeCell ref="B5:L5"/>
    <mergeCell ref="B79:L79"/>
    <mergeCell ref="B63:L63"/>
    <mergeCell ref="B41:L41"/>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1"/>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Catorgy</t>
        </is>
      </c>
      <c r="B2" s="287" t="inlineStr">
        <is>
          <t>Source Name</t>
        </is>
      </c>
      <c r="D2" s="13" t="n">
        <v>2023</v>
      </c>
      <c r="E2" s="13" t="n">
        <v>2024</v>
      </c>
      <c r="F2" s="6" t="inlineStr">
        <is>
          <t>Broker's Proforma  Y1</t>
        </is>
      </c>
      <c r="G2" s="6" t="inlineStr">
        <is>
          <t>T12</t>
        </is>
      </c>
      <c r="H2" s="6" t="inlineStr">
        <is>
          <t>Annualization</t>
        </is>
      </c>
      <c r="J2" s="7" t="n">
        <v>45444</v>
      </c>
      <c r="K2" s="7" t="n">
        <v>45474</v>
      </c>
      <c r="L2" s="7" t="n">
        <v>45505</v>
      </c>
      <c r="M2" s="7" t="n">
        <v>45536</v>
      </c>
      <c r="N2" s="7" t="n">
        <v>45566</v>
      </c>
      <c r="O2" s="7" t="n">
        <v>45597</v>
      </c>
      <c r="P2" s="7" t="n">
        <v>45627</v>
      </c>
      <c r="Q2" s="7" t="n">
        <v>45658</v>
      </c>
      <c r="R2" s="7" t="n">
        <v>45689</v>
      </c>
      <c r="S2" s="7" t="n">
        <v>45717</v>
      </c>
      <c r="T2" s="7" t="n">
        <v>45748</v>
      </c>
      <c r="U2" s="7" t="n">
        <v>45992</v>
      </c>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t>
        </is>
      </c>
      <c r="C3" s="3" t="n"/>
      <c r="D3" s="160" t="n"/>
      <c r="E3" s="160" t="n">
        <v>1144604.47</v>
      </c>
      <c r="F3" s="160" t="n">
        <v>1144604.47</v>
      </c>
      <c r="G3" s="21" t="n">
        <v>1144604.47</v>
      </c>
      <c r="H3" s="21">
        <f>((SUM(S3:U3)/$H$1)*12)</f>
        <v/>
      </c>
      <c r="I3" s="3" t="n"/>
      <c r="J3" s="161" t="n">
        <v>88056</v>
      </c>
      <c r="K3" s="161" t="n">
        <v>88063.94</v>
      </c>
      <c r="L3" s="161" t="n">
        <v>95245</v>
      </c>
      <c r="M3" s="161" t="n">
        <v>96356</v>
      </c>
      <c r="N3" s="161" t="n">
        <v>97084</v>
      </c>
      <c r="O3" s="161" t="n">
        <v>97396</v>
      </c>
      <c r="P3" s="161" t="n">
        <v>97648</v>
      </c>
      <c r="Q3" s="161" t="n">
        <v>97396.53</v>
      </c>
      <c r="R3" s="161" t="n">
        <v>96074</v>
      </c>
      <c r="S3" s="161" t="n">
        <v>97095</v>
      </c>
      <c r="T3" s="161" t="n">
        <v>97095</v>
      </c>
      <c r="U3" s="161" t="n">
        <v>97095</v>
      </c>
      <c r="V3" s="27">
        <f>SUM(J3:U3)</f>
        <v/>
      </c>
    </row>
    <row r="4">
      <c r="A4" s="14" t="inlineStr">
        <is>
          <t>Less: Vacancy</t>
        </is>
      </c>
      <c r="B4" s="214" t="inlineStr">
        <is>
          <t>Physical vacancy (rent roll)</t>
        </is>
      </c>
      <c r="C4" s="3" t="n"/>
      <c r="D4" s="160" t="n"/>
      <c r="E4" s="160" t="n">
        <v>0</v>
      </c>
      <c r="F4" s="160" t="n">
        <v>0</v>
      </c>
      <c r="G4" s="21" t="n">
        <v>0</v>
      </c>
      <c r="H4" s="21">
        <f>((SUM(S4:U4)/$H$1)*12)</f>
        <v/>
      </c>
      <c r="I4" s="3" t="n"/>
      <c r="J4" s="161" t="n">
        <v>-1932.75</v>
      </c>
      <c r="K4" s="161" t="n">
        <v>-1932.75</v>
      </c>
      <c r="L4" s="161" t="n">
        <v>-1932.75</v>
      </c>
      <c r="M4" s="161" t="n">
        <v>-1932.75</v>
      </c>
      <c r="N4" s="161" t="n">
        <v>-1932.75</v>
      </c>
      <c r="O4" s="161" t="n">
        <v>-1932.75</v>
      </c>
      <c r="P4" s="161" t="n">
        <v>-1932.75</v>
      </c>
      <c r="Q4" s="161" t="n">
        <v>-1932.75</v>
      </c>
      <c r="R4" s="161" t="n">
        <v>-1932.75</v>
      </c>
      <c r="S4" s="161" t="n">
        <v>-1932.75</v>
      </c>
      <c r="T4" s="161" t="n">
        <v>-1932.75</v>
      </c>
      <c r="U4" s="161" t="n">
        <v>-1932.75</v>
      </c>
      <c r="V4" s="27">
        <f>(((SUM(J4:U4))))</f>
        <v/>
      </c>
    </row>
    <row r="5">
      <c r="A5" s="14" t="inlineStr">
        <is>
          <t>Less: Concessions</t>
        </is>
      </c>
      <c r="B5" s="214" t="inlineStr">
        <is>
          <t>4131 Move in Specials</t>
        </is>
      </c>
      <c r="C5" s="3" t="n"/>
      <c r="D5" s="160" t="n"/>
      <c r="E5" s="160" t="n">
        <v>-168</v>
      </c>
      <c r="F5" s="160" t="n">
        <v>-168</v>
      </c>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6120 Bad Debt (re-routed from expense block to income contra)</t>
        </is>
      </c>
      <c r="C6" s="3" t="n"/>
      <c r="D6" s="160" t="n"/>
      <c r="E6" s="160" t="n">
        <v>-26061.7</v>
      </c>
      <c r="F6" s="160" t="n">
        <v>-26061.7</v>
      </c>
      <c r="G6" s="21" t="n">
        <v>-26061.7</v>
      </c>
      <c r="H6" s="21">
        <f>((SUM(S6:U6)/$H$1)*12)</f>
        <v/>
      </c>
      <c r="I6" s="3" t="n"/>
      <c r="J6" s="161" t="n">
        <v>-35.6</v>
      </c>
      <c r="K6" s="161" t="n">
        <v>-6151.01</v>
      </c>
      <c r="L6" s="161" t="n">
        <v>0</v>
      </c>
      <c r="M6" s="161" t="n">
        <v>-1886.84</v>
      </c>
      <c r="N6" s="817" t="n">
        <v>0</v>
      </c>
      <c r="O6" s="161" t="n">
        <v>-3846.97</v>
      </c>
      <c r="P6" s="817" t="n">
        <v>-10326.98</v>
      </c>
      <c r="Q6" s="161" t="n">
        <v>-3814.3</v>
      </c>
      <c r="R6" s="161" t="n">
        <v>0</v>
      </c>
      <c r="S6" s="161" t="n">
        <v>0</v>
      </c>
      <c r="T6" s="161" t="n">
        <v>0</v>
      </c>
      <c r="U6" s="161" t="n">
        <v>0</v>
      </c>
      <c r="V6" s="27">
        <f>SUM(J6:U6)</f>
        <v/>
      </c>
    </row>
    <row r="7">
      <c r="A7" s="14" t="inlineStr">
        <is>
          <t>RV Site Rental Income</t>
        </is>
      </c>
      <c r="B7" s="214" t="inlineStr">
        <is>
          <t>4103 Long Term RV Lot Rent</t>
        </is>
      </c>
      <c r="C7" s="3" t="n"/>
      <c r="D7" s="160" t="n"/>
      <c r="E7" s="160" t="n">
        <v>172705.2</v>
      </c>
      <c r="F7" s="160" t="n">
        <v>172705.2</v>
      </c>
      <c r="G7" s="21" t="n">
        <v>172705.2</v>
      </c>
      <c r="H7" s="21">
        <f>((SUM(S7:U7)/$H$1)*12)</f>
        <v/>
      </c>
      <c r="I7" s="3" t="n"/>
      <c r="J7" s="161" t="n">
        <v>17051</v>
      </c>
      <c r="K7" s="161" t="n">
        <v>14962</v>
      </c>
      <c r="L7" s="161" t="n">
        <v>15578</v>
      </c>
      <c r="M7" s="161" t="n">
        <v>15645</v>
      </c>
      <c r="N7" s="161" t="n">
        <v>14563</v>
      </c>
      <c r="O7" s="161" t="n">
        <v>14831</v>
      </c>
      <c r="P7" s="817" t="n">
        <v>14090</v>
      </c>
      <c r="Q7" s="161" t="n">
        <v>14090</v>
      </c>
      <c r="R7" s="161" t="n">
        <v>13416</v>
      </c>
      <c r="S7" s="161" t="n">
        <v>12742</v>
      </c>
      <c r="T7" s="161" t="n">
        <v>12742</v>
      </c>
      <c r="U7" s="161" t="n">
        <v>12995.2</v>
      </c>
      <c r="V7" s="27">
        <f>SUM(J7:U7)</f>
        <v/>
      </c>
    </row>
    <row r="8">
      <c r="A8" s="14" t="inlineStr">
        <is>
          <t>Parking Income</t>
        </is>
      </c>
      <c r="B8" s="639" t="inlineStr">
        <is>
          <t>4108 Storage Unit Rent</t>
        </is>
      </c>
      <c r="C8" s="3" t="n"/>
      <c r="D8" s="160" t="n"/>
      <c r="E8" s="160" t="n">
        <v>900</v>
      </c>
      <c r="F8" s="160" t="n">
        <v>900</v>
      </c>
      <c r="G8" s="21" t="n">
        <v>900</v>
      </c>
      <c r="H8" s="21">
        <f>((SUM(S8:U8)/$H$1)*12)</f>
        <v/>
      </c>
      <c r="I8" s="3" t="n"/>
      <c r="J8" s="161" t="n">
        <v>75</v>
      </c>
      <c r="K8" s="161" t="n">
        <v>75</v>
      </c>
      <c r="L8" s="161" t="n">
        <v>75</v>
      </c>
      <c r="M8" s="161" t="n">
        <v>75</v>
      </c>
      <c r="N8" s="161" t="n">
        <v>75</v>
      </c>
      <c r="O8" s="161" t="n">
        <v>75</v>
      </c>
      <c r="P8" s="161" t="n">
        <v>75</v>
      </c>
      <c r="Q8" s="161" t="n">
        <v>75</v>
      </c>
      <c r="R8" s="161" t="n">
        <v>75</v>
      </c>
      <c r="S8" s="161" t="n">
        <v>75</v>
      </c>
      <c r="T8" s="161" t="n">
        <v>75</v>
      </c>
      <c r="U8" s="161" t="n">
        <v>75</v>
      </c>
      <c r="V8" s="27">
        <f>SUM(J8:U8)</f>
        <v/>
      </c>
    </row>
    <row r="9">
      <c r="A9" s="14" t="inlineStr">
        <is>
          <t>Retail</t>
        </is>
      </c>
      <c r="B9" s="214" t="inlineStr">
        <is>
          <t>4110 Retail Unit Rent</t>
        </is>
      </c>
      <c r="C9" s="3" t="n"/>
      <c r="D9" s="160" t="n"/>
      <c r="E9" s="160" t="n">
        <v>12425.81</v>
      </c>
      <c r="F9" s="160" t="n">
        <v>12425.81</v>
      </c>
      <c r="G9" s="21" t="n">
        <v>12425.81</v>
      </c>
      <c r="H9" s="21">
        <f>((SUM(S9:U9)/$H$1)*12)</f>
        <v/>
      </c>
      <c r="I9" s="3" t="n"/>
      <c r="J9" s="161" t="n">
        <v>1200</v>
      </c>
      <c r="K9" s="161" t="n">
        <v>1200</v>
      </c>
      <c r="L9" s="161" t="n">
        <v>425.81</v>
      </c>
      <c r="M9" s="161" t="n">
        <v>0</v>
      </c>
      <c r="N9" s="161" t="n">
        <v>1200</v>
      </c>
      <c r="O9" s="161" t="n">
        <v>1200</v>
      </c>
      <c r="P9" s="161" t="n">
        <v>1200</v>
      </c>
      <c r="Q9" s="161" t="n">
        <v>1200</v>
      </c>
      <c r="R9" s="161" t="n">
        <v>1200</v>
      </c>
      <c r="S9" s="161" t="n">
        <v>1200</v>
      </c>
      <c r="T9" s="161" t="n">
        <v>1200</v>
      </c>
      <c r="U9" s="161" t="n">
        <v>1200</v>
      </c>
      <c r="V9" s="27">
        <f>SUM(J9:U9)</f>
        <v/>
      </c>
    </row>
    <row r="10">
      <c r="A10" s="14" t="inlineStr">
        <is>
          <t>Utility Reimbursement</t>
        </is>
      </c>
      <c r="B10" s="214" t="inlineStr">
        <is>
          <t>4403 Electric</t>
        </is>
      </c>
      <c r="C10" s="3" t="n"/>
      <c r="D10" s="160" t="n"/>
      <c r="E10" s="160" t="n">
        <v>79147.02</v>
      </c>
      <c r="F10" s="160" t="n">
        <v>79147.02</v>
      </c>
      <c r="G10" s="21" t="n">
        <v>79147.02</v>
      </c>
      <c r="H10" s="21">
        <f>((SUM(S10:U10)/$H$1)*12)</f>
        <v/>
      </c>
      <c r="I10" s="3" t="n"/>
      <c r="J10" s="161" t="n">
        <v>5895.17</v>
      </c>
      <c r="K10" s="161" t="n">
        <v>7136.87</v>
      </c>
      <c r="L10" s="161" t="n">
        <v>8138.93</v>
      </c>
      <c r="M10" s="161" t="n">
        <v>7443.4</v>
      </c>
      <c r="N10" s="161" t="n">
        <v>9404.690000000001</v>
      </c>
      <c r="O10" s="161" t="n">
        <v>7438.49</v>
      </c>
      <c r="P10" s="161" t="n">
        <v>6708.47</v>
      </c>
      <c r="Q10" s="161" t="n">
        <v>6135.98</v>
      </c>
      <c r="R10" s="161" t="n">
        <v>6004.45</v>
      </c>
      <c r="S10" s="161" t="n">
        <v>5116.73</v>
      </c>
      <c r="T10" s="161" t="n">
        <v>4779.05</v>
      </c>
      <c r="U10" s="161" t="n">
        <v>4944.79</v>
      </c>
      <c r="V10" s="27">
        <f>SUM(J10:U10)</f>
        <v/>
      </c>
    </row>
    <row r="11">
      <c r="A11" s="14" t="inlineStr">
        <is>
          <t>Utility Reimbursement</t>
        </is>
      </c>
      <c r="B11" s="214" t="inlineStr">
        <is>
          <t>4404 Garbage</t>
        </is>
      </c>
      <c r="C11" s="3" t="n"/>
      <c r="D11" s="160" t="n"/>
      <c r="E11" s="160" t="n">
        <v>30</v>
      </c>
      <c r="F11" s="160" t="n">
        <v>30</v>
      </c>
      <c r="G11" s="21" t="n">
        <v>30</v>
      </c>
      <c r="H11" s="21">
        <f>((SUM(S11:U11)/$H$1)*12)</f>
        <v/>
      </c>
      <c r="I11" s="3" t="n"/>
      <c r="J11" s="161" t="n">
        <v>0</v>
      </c>
      <c r="K11" s="161" t="n">
        <v>0</v>
      </c>
      <c r="L11" s="161" t="n">
        <v>0</v>
      </c>
      <c r="M11" s="161" t="n">
        <v>0</v>
      </c>
      <c r="N11" s="161" t="n">
        <v>0</v>
      </c>
      <c r="O11" s="161" t="n">
        <v>0</v>
      </c>
      <c r="P11" s="161" t="n">
        <v>0</v>
      </c>
      <c r="Q11" s="161" t="n">
        <v>0</v>
      </c>
      <c r="R11" s="161" t="n">
        <v>0</v>
      </c>
      <c r="S11" s="161" t="n">
        <v>0</v>
      </c>
      <c r="T11" s="161" t="n">
        <v>0</v>
      </c>
      <c r="U11" s="161" t="n">
        <v>30</v>
      </c>
      <c r="V11" s="27">
        <f>SUM(J11:U11)</f>
        <v/>
      </c>
    </row>
    <row r="12">
      <c r="A12" s="14" t="inlineStr">
        <is>
          <t>Other Income</t>
        </is>
      </c>
      <c r="B12" s="214" t="inlineStr">
        <is>
          <t>4402 Water &amp; Sewer (contra)</t>
        </is>
      </c>
      <c r="C12" s="3" t="n"/>
      <c r="D12" s="160" t="n"/>
      <c r="E12" s="160" t="n">
        <v>-1709</v>
      </c>
      <c r="F12" s="160" t="n">
        <v>-1709</v>
      </c>
      <c r="G12" s="21" t="n">
        <v>-1709</v>
      </c>
      <c r="H12" s="21">
        <f>((SUM(S12:U12)/$H$1)*12)</f>
        <v/>
      </c>
      <c r="I12" s="3" t="n"/>
      <c r="J12" s="161" t="n">
        <v>0</v>
      </c>
      <c r="K12" s="161" t="n">
        <v>0</v>
      </c>
      <c r="L12" s="161" t="n">
        <v>0</v>
      </c>
      <c r="M12" s="161" t="n">
        <v>-1709</v>
      </c>
      <c r="N12" s="161" t="n">
        <v>0</v>
      </c>
      <c r="O12" s="161" t="n">
        <v>0</v>
      </c>
      <c r="P12" s="161" t="n">
        <v>0</v>
      </c>
      <c r="Q12" s="161" t="n">
        <v>0</v>
      </c>
      <c r="R12" s="161" t="n">
        <v>0</v>
      </c>
      <c r="S12" s="161" t="n">
        <v>0</v>
      </c>
      <c r="T12" s="161" t="n">
        <v>0</v>
      </c>
      <c r="U12" s="161" t="n">
        <v>0</v>
      </c>
      <c r="V12" s="27">
        <f>SUM(J12:U12)</f>
        <v/>
      </c>
    </row>
    <row r="13">
      <c r="A13" s="14" t="inlineStr">
        <is>
          <t>Other Income</t>
        </is>
      </c>
      <c r="B13" s="214" t="inlineStr">
        <is>
          <t>4304 Damages</t>
        </is>
      </c>
      <c r="C13" s="3" t="n"/>
      <c r="D13" s="160" t="n"/>
      <c r="E13" s="160" t="n">
        <v>1250.65</v>
      </c>
      <c r="F13" s="160" t="n">
        <v>1250.65</v>
      </c>
      <c r="G13" s="21" t="n">
        <v>1250.65</v>
      </c>
      <c r="H13" s="21">
        <f>((SUM(S13:U13)/$H$1)*12)</f>
        <v/>
      </c>
      <c r="I13" s="3" t="n"/>
      <c r="J13" s="161" t="n">
        <v>0</v>
      </c>
      <c r="K13" s="161" t="n">
        <v>0</v>
      </c>
      <c r="L13" s="161" t="n">
        <v>0</v>
      </c>
      <c r="M13" s="161" t="n">
        <v>0</v>
      </c>
      <c r="N13" s="161" t="n">
        <v>1250.65</v>
      </c>
      <c r="O13" s="161" t="n">
        <v>0</v>
      </c>
      <c r="P13" s="161" t="n">
        <v>0</v>
      </c>
      <c r="Q13" s="161" t="n">
        <v>0</v>
      </c>
      <c r="R13" s="161" t="n">
        <v>0</v>
      </c>
      <c r="S13" s="161" t="n">
        <v>0</v>
      </c>
      <c r="T13" s="161" t="n">
        <v>0</v>
      </c>
      <c r="U13" s="161" t="n">
        <v>0</v>
      </c>
      <c r="V13" s="27">
        <f>SUM(J13:U13)</f>
        <v/>
      </c>
    </row>
    <row r="14">
      <c r="A14" s="14" t="inlineStr">
        <is>
          <t>Other Income</t>
        </is>
      </c>
      <c r="B14" s="214" t="inlineStr">
        <is>
          <t>4905 Recovered Legal/Court Fees</t>
        </is>
      </c>
      <c r="C14" s="3" t="n"/>
      <c r="D14" s="160" t="n"/>
      <c r="E14" s="160" t="n">
        <v>3183.75</v>
      </c>
      <c r="F14" s="160" t="n">
        <v>3183.75</v>
      </c>
      <c r="G14" s="21" t="n">
        <v>3183.75</v>
      </c>
      <c r="H14" s="21">
        <f>((SUM(S14:U14)/$H$1)*12)</f>
        <v/>
      </c>
      <c r="I14" s="3" t="n"/>
      <c r="J14" s="161" t="n">
        <v>0</v>
      </c>
      <c r="K14" s="161" t="n">
        <v>0</v>
      </c>
      <c r="L14" s="161" t="n">
        <v>0</v>
      </c>
      <c r="M14" s="161" t="n">
        <v>0</v>
      </c>
      <c r="N14" s="161" t="n">
        <v>0</v>
      </c>
      <c r="O14" s="161" t="n">
        <v>0</v>
      </c>
      <c r="P14" s="161" t="n">
        <v>1305.25</v>
      </c>
      <c r="Q14" s="161" t="n">
        <v>1878.5</v>
      </c>
      <c r="R14" s="161" t="n">
        <v>0</v>
      </c>
      <c r="S14" s="161" t="n">
        <v>0</v>
      </c>
      <c r="T14" s="161" t="n">
        <v>0</v>
      </c>
      <c r="U14" s="161" t="n">
        <v>0</v>
      </c>
      <c r="V14" s="27">
        <f>SUM(J14:U14)</f>
        <v/>
      </c>
    </row>
    <row r="15">
      <c r="A15" s="14" t="inlineStr">
        <is>
          <t>Other Income</t>
        </is>
      </c>
      <c r="B15" s="214" t="inlineStr">
        <is>
          <t>4907 Violation Fines</t>
        </is>
      </c>
      <c r="C15" s="3" t="n"/>
      <c r="D15" s="160" t="n"/>
      <c r="E15" s="160" t="n">
        <v>50</v>
      </c>
      <c r="F15" s="160" t="n">
        <v>50</v>
      </c>
      <c r="G15" s="21" t="n">
        <v>50</v>
      </c>
      <c r="H15" s="21">
        <f>((SUM(S15:U15)/$H$1)*12)</f>
        <v/>
      </c>
      <c r="I15" s="3" t="n"/>
      <c r="J15" s="161" t="n">
        <v>0</v>
      </c>
      <c r="K15" s="161" t="n">
        <v>0</v>
      </c>
      <c r="L15" s="161" t="n">
        <v>0</v>
      </c>
      <c r="M15" s="161" t="n">
        <v>0</v>
      </c>
      <c r="N15" s="161" t="n">
        <v>0</v>
      </c>
      <c r="O15" s="161" t="n">
        <v>0</v>
      </c>
      <c r="P15" s="161" t="n">
        <v>0</v>
      </c>
      <c r="Q15" s="161" t="n">
        <v>50</v>
      </c>
      <c r="R15" s="161" t="n">
        <v>0</v>
      </c>
      <c r="S15" s="161" t="n">
        <v>25</v>
      </c>
      <c r="T15" s="161" t="n">
        <v>-25</v>
      </c>
      <c r="U15" s="161" t="n">
        <v>0</v>
      </c>
      <c r="V15" s="27">
        <f>SUM(J15:U15)</f>
        <v/>
      </c>
    </row>
    <row r="16">
      <c r="A16" s="14" t="inlineStr">
        <is>
          <t>Other Income</t>
        </is>
      </c>
      <c r="B16" s="214" t="inlineStr">
        <is>
          <t>4908 Payment Processing Fee</t>
        </is>
      </c>
      <c r="C16" s="3" t="n"/>
      <c r="D16" s="160" t="n"/>
      <c r="E16" s="160" t="n">
        <v>7159.9</v>
      </c>
      <c r="F16" s="160" t="n">
        <v>7159.9</v>
      </c>
      <c r="G16" s="21" t="n">
        <v>7159.9</v>
      </c>
      <c r="H16" s="21">
        <f>((SUM(S16:U16)/$H$1)*12)</f>
        <v/>
      </c>
      <c r="I16" s="3" t="n"/>
      <c r="J16" s="161" t="n">
        <v>630.54</v>
      </c>
      <c r="K16" s="161" t="n">
        <v>692.09</v>
      </c>
      <c r="L16" s="161" t="n">
        <v>635.0599999999999</v>
      </c>
      <c r="M16" s="161" t="n">
        <v>627.78</v>
      </c>
      <c r="N16" s="161" t="n">
        <v>666.63</v>
      </c>
      <c r="O16" s="161" t="n">
        <v>646.8200000000001</v>
      </c>
      <c r="P16" s="161" t="n">
        <v>562.24</v>
      </c>
      <c r="Q16" s="161" t="n">
        <v>572.1799999999999</v>
      </c>
      <c r="R16" s="161" t="n">
        <v>514.04</v>
      </c>
      <c r="S16" s="161" t="n">
        <v>539.64</v>
      </c>
      <c r="T16" s="161" t="n">
        <v>548.87</v>
      </c>
      <c r="U16" s="161" t="n">
        <v>524.01</v>
      </c>
      <c r="V16" s="27">
        <f>SUM(J16:U16)</f>
        <v/>
      </c>
    </row>
    <row r="17">
      <c r="A17" s="14" t="inlineStr">
        <is>
          <t>Other Income</t>
        </is>
      </c>
      <c r="B17" s="214" t="inlineStr">
        <is>
          <t>4909 Cable Revenue Sharing</t>
        </is>
      </c>
      <c r="C17" s="3" t="n"/>
      <c r="D17" s="160" t="n"/>
      <c r="E17" s="160" t="n">
        <v>2658.85</v>
      </c>
      <c r="F17" s="160" t="n">
        <v>2658.85</v>
      </c>
      <c r="G17" s="21" t="n">
        <v>2658.85</v>
      </c>
      <c r="H17" s="21">
        <f>((SUM(S17:U17)/$H$1)*12)</f>
        <v/>
      </c>
      <c r="I17" s="3" t="n"/>
      <c r="J17" s="161" t="n">
        <v>203</v>
      </c>
      <c r="K17" s="161" t="n">
        <v>202.5</v>
      </c>
      <c r="L17" s="161" t="n">
        <v>228.27</v>
      </c>
      <c r="M17" s="161" t="n">
        <v>228.27</v>
      </c>
      <c r="N17" s="161" t="n">
        <v>228.29</v>
      </c>
      <c r="O17" s="161" t="n">
        <v>242.84</v>
      </c>
      <c r="P17" s="161" t="n">
        <v>242.84</v>
      </c>
      <c r="Q17" s="161" t="n">
        <v>242.84</v>
      </c>
      <c r="R17" s="161" t="n">
        <v>225</v>
      </c>
      <c r="S17" s="161" t="n">
        <v>225</v>
      </c>
      <c r="T17" s="161" t="n">
        <v>195</v>
      </c>
      <c r="U17" s="161" t="n">
        <v>195</v>
      </c>
      <c r="V17" s="27">
        <f>SUM(J17:U17)</f>
        <v/>
      </c>
    </row>
    <row r="18">
      <c r="A18" s="14" t="inlineStr">
        <is>
          <t>Other Income</t>
        </is>
      </c>
      <c r="B18" s="639" t="inlineStr">
        <is>
          <t>4910 Rental Pool Revenue Sharing</t>
        </is>
      </c>
      <c r="C18" s="3" t="n"/>
      <c r="D18" s="160" t="n"/>
      <c r="E18" s="160" t="n">
        <v>22773.72</v>
      </c>
      <c r="F18" s="160" t="n">
        <v>22773.72</v>
      </c>
      <c r="G18" s="21" t="n">
        <v>22773.72</v>
      </c>
      <c r="H18" s="21">
        <f>((SUM(S18:U18)/$H$1)*12)</f>
        <v/>
      </c>
      <c r="I18" s="3" t="n"/>
      <c r="J18" s="161" t="n">
        <v>1129.64</v>
      </c>
      <c r="K18" s="161" t="n">
        <v>953.0700000000001</v>
      </c>
      <c r="L18" s="161" t="n">
        <v>840.65</v>
      </c>
      <c r="M18" s="161" t="n">
        <v>851.25</v>
      </c>
      <c r="N18" s="161" t="n">
        <v>1855.27</v>
      </c>
      <c r="O18" s="161" t="n">
        <v>1698.5</v>
      </c>
      <c r="P18" s="161" t="n">
        <v>2361.51</v>
      </c>
      <c r="Q18" s="161" t="n">
        <v>2752.75</v>
      </c>
      <c r="R18" s="161" t="n">
        <v>3719.63</v>
      </c>
      <c r="S18" s="161" t="n">
        <v>3819.32</v>
      </c>
      <c r="T18" s="161" t="n">
        <v>2792.13</v>
      </c>
      <c r="U18" s="161" t="n">
        <v>0</v>
      </c>
      <c r="V18" s="27">
        <f>SUM(J18:U18)</f>
        <v/>
      </c>
    </row>
    <row r="19">
      <c r="A19" s="14" t="inlineStr">
        <is>
          <t>Other Income</t>
        </is>
      </c>
      <c r="B19" s="214" t="inlineStr">
        <is>
          <t>4913 Application Fees</t>
        </is>
      </c>
      <c r="C19" s="3" t="n"/>
      <c r="D19" s="160" t="n"/>
      <c r="E19" s="160" t="n">
        <v>850</v>
      </c>
      <c r="F19" s="160" t="n">
        <v>850</v>
      </c>
      <c r="G19" s="21" t="n">
        <v>850</v>
      </c>
      <c r="H19" s="21">
        <f>((SUM(S19:U19)/$H$1)*12)</f>
        <v/>
      </c>
      <c r="I19" s="3" t="n"/>
      <c r="J19" s="161" t="n">
        <v>200</v>
      </c>
      <c r="K19" s="161" t="n">
        <v>100</v>
      </c>
      <c r="L19" s="161" t="n">
        <v>0</v>
      </c>
      <c r="M19" s="161" t="n">
        <v>250</v>
      </c>
      <c r="N19" s="161" t="n">
        <v>100</v>
      </c>
      <c r="O19" s="161" t="n">
        <v>0</v>
      </c>
      <c r="P19" s="161" t="n">
        <v>0</v>
      </c>
      <c r="Q19" s="161" t="n">
        <v>0</v>
      </c>
      <c r="R19" s="161" t="n">
        <v>50</v>
      </c>
      <c r="S19" s="161" t="n">
        <v>0</v>
      </c>
      <c r="T19" s="161" t="n">
        <v>0</v>
      </c>
      <c r="U19" s="161" t="n">
        <v>150</v>
      </c>
      <c r="V19" s="27">
        <f>SUM(J19:U19)</f>
        <v/>
      </c>
    </row>
    <row r="20">
      <c r="A20" s="14" t="inlineStr">
        <is>
          <t>Other Income</t>
        </is>
      </c>
      <c r="B20" s="214" t="inlineStr">
        <is>
          <t>4914 Late Fees</t>
        </is>
      </c>
      <c r="C20" s="3" t="n"/>
      <c r="D20" s="160" t="n"/>
      <c r="E20" s="160" t="n">
        <v>5523.56</v>
      </c>
      <c r="F20" s="160" t="n">
        <v>5523.56</v>
      </c>
      <c r="G20" s="21" t="n">
        <v>5523.56</v>
      </c>
      <c r="H20" s="21">
        <f>((SUM(S20:U20)/$H$1)*12)</f>
        <v/>
      </c>
      <c r="I20" s="3" t="n"/>
      <c r="J20" s="161" t="n">
        <v>350</v>
      </c>
      <c r="K20" s="161" t="n">
        <v>400</v>
      </c>
      <c r="L20" s="161" t="n">
        <v>450</v>
      </c>
      <c r="M20" s="161" t="n">
        <v>650</v>
      </c>
      <c r="N20" s="161" t="n">
        <v>500</v>
      </c>
      <c r="O20" s="161" t="n">
        <v>550</v>
      </c>
      <c r="P20" s="161" t="n">
        <v>650</v>
      </c>
      <c r="Q20" s="161" t="n">
        <v>423.56</v>
      </c>
      <c r="R20" s="161" t="n">
        <v>500</v>
      </c>
      <c r="S20" s="161" t="n">
        <v>350</v>
      </c>
      <c r="T20" s="161" t="n">
        <v>200</v>
      </c>
      <c r="U20" s="161" t="n">
        <v>500</v>
      </c>
      <c r="V20" s="27">
        <f>SUM(J20:U20)</f>
        <v/>
      </c>
    </row>
    <row r="21">
      <c r="A21" s="14" t="inlineStr">
        <is>
          <t>Other Income</t>
        </is>
      </c>
      <c r="B21" s="128" t="inlineStr">
        <is>
          <t>4915 NSF Fees</t>
        </is>
      </c>
      <c r="C21" s="3" t="n"/>
      <c r="D21" s="160" t="n"/>
      <c r="E21" s="160" t="n">
        <v>375</v>
      </c>
      <c r="F21" s="160" t="n">
        <v>375</v>
      </c>
      <c r="G21" s="21" t="n">
        <v>375</v>
      </c>
      <c r="H21" s="21">
        <f>((SUM(S21:U21)/$H$1)*12)</f>
        <v/>
      </c>
      <c r="I21" s="3" t="n"/>
      <c r="J21" s="161" t="n">
        <v>50</v>
      </c>
      <c r="K21" s="161" t="n">
        <v>0</v>
      </c>
      <c r="L21" s="161" t="n">
        <v>25</v>
      </c>
      <c r="M21" s="161" t="n">
        <v>25</v>
      </c>
      <c r="N21" s="161" t="n">
        <v>25</v>
      </c>
      <c r="O21" s="161" t="n">
        <v>75</v>
      </c>
      <c r="P21" s="161" t="n">
        <v>50</v>
      </c>
      <c r="Q21" s="161" t="n">
        <v>0</v>
      </c>
      <c r="R21" s="161" t="n">
        <v>25</v>
      </c>
      <c r="S21" s="161" t="n">
        <v>100</v>
      </c>
      <c r="T21" s="161" t="n">
        <v>0</v>
      </c>
      <c r="U21" s="161" t="n">
        <v>0</v>
      </c>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n"/>
      <c r="B28" s="128" t="n"/>
      <c r="C28" s="3" t="n"/>
      <c r="D28" s="128" t="n"/>
      <c r="E28" s="128" t="n"/>
      <c r="F28" s="31" t="n"/>
      <c r="G28" s="23" t="n"/>
      <c r="H28" s="21">
        <f>((SUM(S28:U28)/$H$1)*12)</f>
        <v/>
      </c>
      <c r="I28" s="3" t="n"/>
      <c r="J28" s="31" t="n"/>
      <c r="K28" s="31" t="n"/>
      <c r="L28" s="31" t="n"/>
      <c r="M28" s="31" t="n"/>
      <c r="N28" s="31" t="n"/>
      <c r="O28" s="31" t="n"/>
      <c r="P28" s="31" t="n"/>
      <c r="Q28" s="31" t="n"/>
      <c r="R28" s="31" t="n"/>
      <c r="S28" s="31" t="n"/>
      <c r="T28" s="31" t="n"/>
      <c r="U28" s="31" t="n"/>
      <c r="V28" s="27">
        <f>SUM(J28:U28)</f>
        <v/>
      </c>
    </row>
    <row r="29">
      <c r="A29" s="14" t="n"/>
      <c r="B29" s="128" t="n"/>
      <c r="C29" s="3" t="n"/>
      <c r="D29" s="31" t="n"/>
      <c r="E29" s="31" t="n"/>
      <c r="F29" s="31" t="n"/>
      <c r="G29" s="23" t="n"/>
      <c r="H29" s="21">
        <f>((SUM(S29:U29)/$H$1)*12)</f>
        <v/>
      </c>
      <c r="I29" s="3" t="n"/>
      <c r="J29" s="31" t="n"/>
      <c r="K29" s="31" t="n"/>
      <c r="L29" s="31" t="n"/>
      <c r="M29" s="31" t="n"/>
      <c r="N29" s="31" t="n"/>
      <c r="O29" s="31" t="n"/>
      <c r="P29" s="31" t="n"/>
      <c r="Q29" s="31" t="n"/>
      <c r="R29" s="31" t="n"/>
      <c r="S29" s="31" t="n"/>
      <c r="T29" s="31" t="n"/>
      <c r="U29" s="31" t="n"/>
      <c r="V29" s="27">
        <f>SUM(J29:U29)</f>
        <v/>
      </c>
    </row>
    <row r="30">
      <c r="A30" s="14" t="n"/>
      <c r="B30" s="128" t="n"/>
      <c r="C30" s="3" t="n"/>
      <c r="D30" s="31" t="n"/>
      <c r="E30" s="31" t="n"/>
      <c r="F30" s="31" t="n"/>
      <c r="G30" s="23" t="n"/>
      <c r="H30" s="21">
        <f>((SUM(S30:U30)/$H$1)*12)</f>
        <v/>
      </c>
      <c r="I30" s="3" t="n"/>
      <c r="J30" s="31" t="n"/>
      <c r="K30" s="31" t="n"/>
      <c r="L30" s="31" t="n"/>
      <c r="M30" s="31" t="n"/>
      <c r="N30" s="31" t="n"/>
      <c r="O30" s="31" t="n"/>
      <c r="P30" s="31" t="n"/>
      <c r="Q30" s="31" t="n"/>
      <c r="R30" s="31" t="n"/>
      <c r="S30" s="31" t="n"/>
      <c r="T30" s="31" t="n"/>
      <c r="U30" s="31" t="n"/>
      <c r="V30" s="27">
        <f>SUM(J30:U30)</f>
        <v/>
      </c>
    </row>
    <row r="31">
      <c r="A31" s="14" t="n"/>
      <c r="B31" s="128" t="n"/>
      <c r="C31" s="3" t="n"/>
      <c r="D31" s="31" t="n"/>
      <c r="E31" s="31" t="n"/>
      <c r="F31" s="31" t="n"/>
      <c r="G31" s="23" t="n"/>
      <c r="H31" s="21">
        <f>((SUM(S31:U31)/$H$1)*12)</f>
        <v/>
      </c>
      <c r="I31" s="3" t="n"/>
      <c r="J31" s="31" t="n"/>
      <c r="K31" s="31" t="n"/>
      <c r="L31" s="31" t="n"/>
      <c r="M31" s="31" t="n"/>
      <c r="N31" s="31" t="n"/>
      <c r="O31" s="31" t="n"/>
      <c r="P31" s="31" t="n"/>
      <c r="Q31" s="31" t="n"/>
      <c r="R31" s="31" t="n"/>
      <c r="S31" s="31" t="n"/>
      <c r="T31" s="31" t="n"/>
      <c r="U31" s="31" t="n"/>
      <c r="V31" s="27">
        <f>SUM(J31:U31)</f>
        <v/>
      </c>
    </row>
    <row r="32">
      <c r="A32" s="14" t="n"/>
      <c r="B32" s="128" t="n"/>
      <c r="C32" s="3" t="n"/>
      <c r="D32" s="31" t="n"/>
      <c r="E32" s="31" t="n"/>
      <c r="F32" s="31" t="n"/>
      <c r="G32" s="23" t="n"/>
      <c r="H32" s="21">
        <f>((SUM(S32:U32)/$H$1)*12)</f>
        <v/>
      </c>
      <c r="I32" s="3" t="n"/>
      <c r="J32" s="31" t="n"/>
      <c r="K32" s="31" t="n"/>
      <c r="L32" s="31" t="n"/>
      <c r="M32" s="31" t="n"/>
      <c r="N32" s="31" t="n"/>
      <c r="O32" s="31" t="n"/>
      <c r="P32" s="31" t="n"/>
      <c r="Q32" s="31" t="n"/>
      <c r="R32" s="31" t="n"/>
      <c r="S32" s="31" t="n"/>
      <c r="T32" s="31" t="n"/>
      <c r="U32" s="31" t="n"/>
      <c r="V32" s="27">
        <f>SUM(J32:U32)</f>
        <v/>
      </c>
    </row>
    <row r="33">
      <c r="A33" s="14" t="n"/>
      <c r="B33" s="128" t="n"/>
      <c r="C33" s="3" t="n"/>
      <c r="D33" s="31" t="n"/>
      <c r="E33" s="31" t="n"/>
      <c r="F33" s="31" t="n"/>
      <c r="G33" s="23" t="n"/>
      <c r="H33" s="21">
        <f>((SUM(S33:U33)/$H$1)*12)</f>
        <v/>
      </c>
      <c r="I33" s="3" t="n"/>
      <c r="J33" s="31" t="n"/>
      <c r="K33" s="31" t="n"/>
      <c r="L33" s="31" t="n"/>
      <c r="M33" s="31" t="n"/>
      <c r="N33" s="31" t="n"/>
      <c r="O33" s="31" t="n"/>
      <c r="P33" s="31" t="n"/>
      <c r="Q33" s="31" t="n"/>
      <c r="R33" s="31" t="n"/>
      <c r="S33" s="31" t="n"/>
      <c r="T33" s="31" t="n"/>
      <c r="U33" s="31" t="n"/>
      <c r="V33" s="27">
        <f>SUM(J33:U33)</f>
        <v/>
      </c>
    </row>
    <row r="34">
      <c r="A34" s="14" t="n"/>
      <c r="B34" s="128" t="n"/>
      <c r="C34" s="3" t="n"/>
      <c r="D34" s="31" t="n"/>
      <c r="E34" s="31" t="n"/>
      <c r="F34" s="31" t="n"/>
      <c r="G34" s="23" t="n"/>
      <c r="H34" s="21">
        <f>((SUM(S34:U34)/$H$1)*12)</f>
        <v/>
      </c>
      <c r="I34" s="3" t="n"/>
      <c r="J34" s="31" t="n"/>
      <c r="K34" s="31" t="n"/>
      <c r="L34" s="31" t="n"/>
      <c r="M34" s="31" t="n"/>
      <c r="N34" s="31" t="n"/>
      <c r="O34" s="31" t="n"/>
      <c r="P34" s="31" t="n"/>
      <c r="Q34" s="31" t="n"/>
      <c r="R34" s="31" t="n"/>
      <c r="S34" s="31" t="n"/>
      <c r="T34" s="31" t="n"/>
      <c r="U34" s="31" t="n"/>
      <c r="V34" s="27">
        <f>SUM(J34:U34)</f>
        <v/>
      </c>
    </row>
    <row r="35">
      <c r="A35" s="14" t="n"/>
      <c r="B35" s="128" t="n"/>
      <c r="C35" s="3" t="n"/>
      <c r="D35" s="31" t="n"/>
      <c r="E35" s="31" t="n"/>
      <c r="F35" s="31" t="n"/>
      <c r="G35" s="23" t="n"/>
      <c r="H35" s="21">
        <f>((SUM(S35:U35)/$H$1)*12)</f>
        <v/>
      </c>
      <c r="I35" s="3" t="n"/>
      <c r="J35" s="31" t="n"/>
      <c r="K35" s="31" t="n"/>
      <c r="L35" s="31" t="n"/>
      <c r="M35" s="31" t="n"/>
      <c r="N35" s="31" t="n"/>
      <c r="O35" s="31" t="n"/>
      <c r="P35" s="31" t="n"/>
      <c r="Q35" s="31" t="n"/>
      <c r="R35" s="31" t="n"/>
      <c r="S35" s="31" t="n"/>
      <c r="T35" s="31" t="n"/>
      <c r="U35" s="31" t="n"/>
      <c r="V35" s="27">
        <f>SUM(J35:U35)</f>
        <v/>
      </c>
    </row>
    <row r="36">
      <c r="A36" s="14" t="n"/>
      <c r="B36" s="128" t="n"/>
      <c r="C36" s="3" t="n"/>
      <c r="D36" s="31" t="n"/>
      <c r="E36" s="31" t="n"/>
      <c r="F36" s="31" t="n"/>
      <c r="G36" s="23" t="n"/>
      <c r="H36" s="21">
        <f>((SUM(S36:U36)/$H$1)*12)</f>
        <v/>
      </c>
      <c r="I36" s="3" t="n"/>
      <c r="J36" s="31" t="n"/>
      <c r="K36" s="31" t="n"/>
      <c r="L36" s="31" t="n"/>
      <c r="M36" s="31" t="n"/>
      <c r="N36" s="31" t="n"/>
      <c r="O36" s="817" t="n"/>
      <c r="P36" s="31" t="n"/>
      <c r="Q36" s="31" t="n"/>
      <c r="R36" s="31" t="n"/>
      <c r="S36" s="31" t="n"/>
      <c r="T36" s="31" t="n"/>
      <c r="U36" s="31" t="n"/>
      <c r="V36" s="27">
        <f>SUM(J36:U36)</f>
        <v/>
      </c>
    </row>
    <row r="37">
      <c r="A37" s="14" t="n"/>
      <c r="B37" s="128" t="n"/>
      <c r="C37" s="3" t="n"/>
      <c r="D37" s="31" t="n"/>
      <c r="E37" s="31" t="n"/>
      <c r="F37" s="31" t="n"/>
      <c r="G37" s="23" t="n"/>
      <c r="H37" s="21">
        <f>((SUM(S37:U37)/$H$1)*12)</f>
        <v/>
      </c>
      <c r="I37" s="3" t="n"/>
      <c r="J37" s="31" t="n"/>
      <c r="K37" s="31" t="n"/>
      <c r="L37" s="31" t="n"/>
      <c r="M37" s="31" t="n"/>
      <c r="N37" s="31" t="n"/>
      <c r="O37" s="31" t="n"/>
      <c r="P37" s="31" t="n"/>
      <c r="Q37" s="31" t="n"/>
      <c r="R37" s="31" t="n"/>
      <c r="S37" s="31" t="n"/>
      <c r="T37" s="31" t="n"/>
      <c r="U37" s="31" t="n"/>
      <c r="V37" s="27">
        <f>SUM(J37:U37)</f>
        <v/>
      </c>
    </row>
    <row r="38">
      <c r="A38" s="14" t="n"/>
      <c r="B38" s="128" t="n"/>
      <c r="C38" s="3" t="n"/>
      <c r="D38" s="31" t="n"/>
      <c r="E38" s="31" t="n"/>
      <c r="F38" s="31" t="n"/>
      <c r="G38" s="23" t="n"/>
      <c r="H38" s="21">
        <f>((SUM(S38:U38)/$H$1)*12)</f>
        <v/>
      </c>
      <c r="I38" s="3" t="n"/>
      <c r="J38" s="31" t="n"/>
      <c r="K38" s="31" t="n"/>
      <c r="L38" s="31" t="n"/>
      <c r="M38" s="31" t="n"/>
      <c r="N38" s="31" t="n"/>
      <c r="O38" s="31" t="n"/>
      <c r="P38" s="31" t="n"/>
      <c r="Q38" s="31" t="n"/>
      <c r="R38" s="31" t="n"/>
      <c r="S38" s="31" t="n"/>
      <c r="T38" s="31" t="n"/>
      <c r="U38" s="31" t="n"/>
      <c r="V38" s="27">
        <f>SUM(J38:U38)</f>
        <v/>
      </c>
    </row>
    <row r="39">
      <c r="A39" s="14" t="n"/>
      <c r="B39" s="128" t="n"/>
      <c r="C39" s="3" t="n"/>
      <c r="D39" s="31" t="n"/>
      <c r="E39" s="31" t="n"/>
      <c r="F39" s="31" t="n"/>
      <c r="G39" s="23" t="n"/>
      <c r="H39" s="21">
        <f>((SUM(S39:U39)/$H$1)*12)</f>
        <v/>
      </c>
      <c r="I39" s="3" t="n"/>
      <c r="J39" s="31" t="n"/>
      <c r="K39" s="31" t="n"/>
      <c r="L39" s="31" t="n"/>
      <c r="M39" s="31" t="n"/>
      <c r="N39" s="31" t="n"/>
      <c r="O39" s="31" t="n"/>
      <c r="P39" s="31" t="n"/>
      <c r="Q39" s="31" t="n"/>
      <c r="R39" s="31" t="n"/>
      <c r="S39" s="31" t="n"/>
      <c r="T39" s="31" t="n"/>
      <c r="U39" s="31" t="n"/>
      <c r="V39" s="27">
        <f>SUM(J39:U39)</f>
        <v/>
      </c>
    </row>
    <row r="40">
      <c r="A40" s="14" t="n"/>
      <c r="B40" s="128" t="n"/>
      <c r="C40" s="3" t="n"/>
      <c r="D40" s="31" t="n"/>
      <c r="E40" s="31" t="n"/>
      <c r="F40" s="31" t="n"/>
      <c r="G40" s="23" t="n"/>
      <c r="H40" s="21">
        <f>((SUM(S40:U40)/$H$1)*12)</f>
        <v/>
      </c>
      <c r="I40" s="3" t="n"/>
      <c r="J40" s="31" t="n"/>
      <c r="K40" s="31" t="n"/>
      <c r="L40" s="31" t="n"/>
      <c r="M40" s="31" t="n"/>
      <c r="N40" s="31" t="n"/>
      <c r="O40" s="31" t="n"/>
      <c r="P40" s="31" t="n"/>
      <c r="Q40" s="31" t="n"/>
      <c r="R40" s="817" t="n"/>
      <c r="S40" s="817" t="n"/>
      <c r="T40" s="817" t="n"/>
      <c r="U40" s="817" t="n"/>
      <c r="V40" s="27">
        <f>SUM(J40:U40)</f>
        <v/>
      </c>
    </row>
    <row r="41">
      <c r="A41" s="14" t="n"/>
      <c r="B41" s="128" t="n"/>
      <c r="C41" s="3" t="n"/>
      <c r="D41" s="31" t="n"/>
      <c r="E41" s="31" t="n"/>
      <c r="F41" s="31" t="n"/>
      <c r="G41" s="23" t="n"/>
      <c r="H41" s="21">
        <f>((SUM(S41:U41)/$H$1)*12)</f>
        <v/>
      </c>
      <c r="I41" s="3" t="n"/>
      <c r="J41" s="31" t="n"/>
      <c r="K41" s="31" t="n"/>
      <c r="L41" s="31" t="n"/>
      <c r="M41" s="31" t="n"/>
      <c r="N41" s="31" t="n"/>
      <c r="O41" s="31" t="n"/>
      <c r="P41" s="31" t="n"/>
      <c r="Q41" s="31" t="n"/>
      <c r="R41" s="31" t="n"/>
      <c r="S41" s="31" t="n"/>
      <c r="T41" s="31" t="n"/>
      <c r="U41" s="31" t="n"/>
      <c r="V41" s="27">
        <f>SUM(J41:U41)</f>
        <v/>
      </c>
    </row>
    <row r="42">
      <c r="A42" s="14" t="n"/>
      <c r="B42" s="128" t="n"/>
      <c r="C42" s="3" t="n"/>
      <c r="D42" s="31" t="n"/>
      <c r="E42" s="31" t="n"/>
      <c r="F42" s="31" t="n"/>
      <c r="G42" s="23" t="n"/>
      <c r="H42" s="21">
        <f>((SUM(S42:U42)/$H$1)*12)</f>
        <v/>
      </c>
      <c r="I42" s="3" t="n"/>
      <c r="J42" s="31" t="n"/>
      <c r="K42" s="31" t="n"/>
      <c r="L42" s="31" t="n"/>
      <c r="M42" s="31" t="n"/>
      <c r="N42" s="31" t="n"/>
      <c r="O42" s="31" t="n"/>
      <c r="P42" s="31" t="n"/>
      <c r="Q42" s="31" t="n"/>
      <c r="R42" s="31" t="n"/>
      <c r="S42" s="31" t="n"/>
      <c r="T42" s="31" t="n"/>
      <c r="U42" s="31" t="n"/>
      <c r="V42" s="27">
        <f>SUM(J42:U42)</f>
        <v/>
      </c>
    </row>
    <row r="43">
      <c r="A43" s="14" t="inlineStr">
        <is>
          <t>RE Taxes</t>
        </is>
      </c>
      <c r="B43" s="128" t="inlineStr">
        <is>
          <t>5301 Property Taxes</t>
        </is>
      </c>
      <c r="C43" s="3" t="n"/>
      <c r="D43" s="31" t="n"/>
      <c r="E43" s="31" t="n">
        <v>15390.51</v>
      </c>
      <c r="F43" s="31" t="n">
        <v>15390.51</v>
      </c>
      <c r="G43" s="23" t="n">
        <v>15390.51</v>
      </c>
      <c r="H43" s="21">
        <f>((SUM(S43:U43)/$H$1)*12)</f>
        <v/>
      </c>
      <c r="I43" s="3" t="n"/>
      <c r="J43" s="31" t="n">
        <v>1243.41</v>
      </c>
      <c r="K43" s="31" t="n">
        <v>1243.41</v>
      </c>
      <c r="L43" s="31" t="n">
        <v>1492.92</v>
      </c>
      <c r="M43" s="31" t="n">
        <v>1243.41</v>
      </c>
      <c r="N43" s="31" t="n">
        <v>1243.41</v>
      </c>
      <c r="O43" s="31" t="n">
        <v>1463.39</v>
      </c>
      <c r="P43" s="31" t="n">
        <v>1243.41</v>
      </c>
      <c r="Q43" s="31" t="n">
        <v>1243.43</v>
      </c>
      <c r="R43" s="31" t="n">
        <v>1243.43</v>
      </c>
      <c r="S43" s="31" t="n">
        <v>1243.43</v>
      </c>
      <c r="T43" s="31" t="n">
        <v>1243.43</v>
      </c>
      <c r="U43" s="31" t="n">
        <v>1243.43</v>
      </c>
      <c r="V43" s="27">
        <f>SUM(J43:U43)</f>
        <v/>
      </c>
    </row>
    <row r="44">
      <c r="A44" s="14" t="inlineStr">
        <is>
          <t>Insurance</t>
        </is>
      </c>
      <c r="B44" s="128" t="inlineStr">
        <is>
          <t>5051 Car Insurance + 5053 Liability Insurance</t>
        </is>
      </c>
      <c r="C44" s="3" t="n"/>
      <c r="D44" s="31" t="n"/>
      <c r="E44" s="31" t="n">
        <v>37680.97</v>
      </c>
      <c r="F44" s="31" t="n">
        <v>37680.97</v>
      </c>
      <c r="G44" s="23" t="n">
        <v>37680.97</v>
      </c>
      <c r="H44" s="21">
        <f>((SUM(S44:U44)/$H$1)*12)</f>
        <v/>
      </c>
      <c r="I44" s="3" t="n"/>
      <c r="J44" s="31" t="n">
        <v>3230.91</v>
      </c>
      <c r="K44" s="31" t="n">
        <v>3234.24</v>
      </c>
      <c r="L44" s="31" t="n">
        <v>3224.27</v>
      </c>
      <c r="M44" s="31" t="n">
        <v>3230.91</v>
      </c>
      <c r="N44" s="31" t="n">
        <v>3368.16</v>
      </c>
      <c r="O44" s="31" t="n">
        <v>3340.71</v>
      </c>
      <c r="P44" s="31" t="n">
        <v>3340.71</v>
      </c>
      <c r="Q44" s="31" t="n">
        <v>3340.71</v>
      </c>
      <c r="R44" s="31" t="n">
        <v>2784.99</v>
      </c>
      <c r="S44" s="31" t="n">
        <v>2784.99</v>
      </c>
      <c r="T44" s="31" t="n">
        <v>2794.69</v>
      </c>
      <c r="U44" s="31" t="n">
        <v>3005.68</v>
      </c>
      <c r="V44" s="27">
        <f>SUM(J44:U44)</f>
        <v/>
      </c>
    </row>
    <row r="45">
      <c r="A45" s="14" t="inlineStr">
        <is>
          <t>Gas/Fuel</t>
        </is>
      </c>
      <c r="B45" s="128" t="inlineStr">
        <is>
          <t>5401 Fuel for Vehicles + 5406 Gas &amp; Propane</t>
        </is>
      </c>
      <c r="C45" s="3" t="n"/>
      <c r="D45" s="31" t="n"/>
      <c r="E45" s="31" t="n">
        <v>2806.94</v>
      </c>
      <c r="F45" s="31" t="n">
        <v>2806.94</v>
      </c>
      <c r="G45" s="23" t="n">
        <v>2806.94</v>
      </c>
      <c r="H45" s="21">
        <f>((SUM(S45:U45)/$H$1)*12)</f>
        <v/>
      </c>
      <c r="I45" s="3" t="n"/>
      <c r="J45" s="31" t="n">
        <v>0</v>
      </c>
      <c r="K45" s="31" t="n">
        <v>75.48</v>
      </c>
      <c r="L45" s="31" t="n">
        <v>185.18</v>
      </c>
      <c r="M45" s="817" t="n">
        <v>75.20999999999999</v>
      </c>
      <c r="N45" s="31" t="n">
        <v>1929.44</v>
      </c>
      <c r="O45" s="31" t="n">
        <v>108.36</v>
      </c>
      <c r="P45" s="31" t="n">
        <v>109.17</v>
      </c>
      <c r="Q45" s="31" t="n">
        <v>146.92</v>
      </c>
      <c r="R45" s="31" t="n">
        <v>139.94</v>
      </c>
      <c r="S45" s="31" t="n">
        <v>37.24</v>
      </c>
      <c r="T45" s="31" t="n">
        <v>0</v>
      </c>
      <c r="U45" s="31" t="n">
        <v>0</v>
      </c>
      <c r="V45" s="27">
        <f>SUM(J45:U45)</f>
        <v/>
      </c>
    </row>
    <row r="46">
      <c r="A46" s="14" t="inlineStr">
        <is>
          <t>Electrcitiy</t>
        </is>
      </c>
      <c r="B46" s="214" t="inlineStr">
        <is>
          <t>5404 Electric</t>
        </is>
      </c>
      <c r="C46" s="3" t="n"/>
      <c r="D46" s="31" t="n"/>
      <c r="E46" s="31" t="n">
        <v>93309.56</v>
      </c>
      <c r="F46" s="31" t="n">
        <v>93309.56</v>
      </c>
      <c r="G46" s="23" t="n">
        <v>93309.56</v>
      </c>
      <c r="H46" s="21">
        <f>((SUM(S46:U46)/$H$1)*12)</f>
        <v/>
      </c>
      <c r="I46" s="3" t="n"/>
      <c r="J46" s="31" t="n">
        <v>6947.07</v>
      </c>
      <c r="K46" s="31" t="n">
        <v>8871.790000000001</v>
      </c>
      <c r="L46" s="31" t="n">
        <v>8845.15</v>
      </c>
      <c r="M46" s="31" t="n">
        <v>9808.059999999999</v>
      </c>
      <c r="N46" s="31" t="n">
        <v>9372.18</v>
      </c>
      <c r="O46" s="31" t="n">
        <v>9800.4</v>
      </c>
      <c r="P46" s="31" t="n">
        <v>7480.45</v>
      </c>
      <c r="Q46" s="31" t="n">
        <v>7135.25</v>
      </c>
      <c r="R46" s="31" t="n">
        <v>6309.76</v>
      </c>
      <c r="S46" s="31" t="n">
        <v>6385.77</v>
      </c>
      <c r="T46" s="31" t="n">
        <v>6149.59</v>
      </c>
      <c r="U46" s="31" t="n">
        <v>6204.09</v>
      </c>
      <c r="V46" s="27">
        <f>SUM(J46:U46)</f>
        <v/>
      </c>
    </row>
    <row r="47">
      <c r="A47" s="14" t="inlineStr">
        <is>
          <t>Water and Sewer</t>
        </is>
      </c>
      <c r="B47" s="639" t="inlineStr">
        <is>
          <t>5402 Water &amp; Sewer + 5403 Water Testing</t>
        </is>
      </c>
      <c r="C47" s="3" t="n"/>
      <c r="D47" s="31" t="n"/>
      <c r="E47" s="31" t="n">
        <v>57277.28</v>
      </c>
      <c r="F47" s="31" t="n">
        <v>57277.28</v>
      </c>
      <c r="G47" s="23" t="n">
        <v>57277.28</v>
      </c>
      <c r="H47" s="21">
        <f>((SUM(S47:U47)/$H$1)*12)</f>
        <v/>
      </c>
      <c r="I47" s="3" t="n"/>
      <c r="J47" s="31" t="n">
        <v>2605.17</v>
      </c>
      <c r="K47" s="31" t="n">
        <v>5411.91</v>
      </c>
      <c r="L47" s="31" t="n">
        <v>6936.49</v>
      </c>
      <c r="M47" s="31" t="n">
        <v>6639.17</v>
      </c>
      <c r="N47" s="31" t="n">
        <v>3819.28</v>
      </c>
      <c r="O47" s="31" t="n">
        <v>4149.08</v>
      </c>
      <c r="P47" s="31" t="n">
        <v>3844.62</v>
      </c>
      <c r="Q47" s="31" t="n">
        <v>3427.94</v>
      </c>
      <c r="R47" s="31" t="n">
        <v>5729.44</v>
      </c>
      <c r="S47" s="31" t="n">
        <v>3850.64</v>
      </c>
      <c r="T47" s="31" t="n">
        <v>4833.27</v>
      </c>
      <c r="U47" s="31" t="n">
        <v>6030.27</v>
      </c>
      <c r="V47" s="27">
        <f>SUM(J47:U47)</f>
        <v/>
      </c>
    </row>
    <row r="48">
      <c r="A48" s="14" t="inlineStr">
        <is>
          <t>Trash Removal</t>
        </is>
      </c>
      <c r="B48" s="214" t="inlineStr">
        <is>
          <t>5405 Garbage</t>
        </is>
      </c>
      <c r="C48" s="3" t="n"/>
      <c r="D48" s="31" t="n"/>
      <c r="E48" s="31" t="n">
        <v>22439.25</v>
      </c>
      <c r="F48" s="31" t="n">
        <v>22439.25</v>
      </c>
      <c r="G48" s="23" t="n">
        <v>22439.25</v>
      </c>
      <c r="H48" s="21">
        <f>((SUM(S48:U48)/$H$1)*12)</f>
        <v/>
      </c>
      <c r="I48" s="3" t="n"/>
      <c r="J48" s="31" t="n">
        <v>1676.5</v>
      </c>
      <c r="K48" s="31" t="n">
        <v>2209.9</v>
      </c>
      <c r="L48" s="31" t="n">
        <v>2020.55</v>
      </c>
      <c r="M48" s="31" t="n">
        <v>1804.37</v>
      </c>
      <c r="N48" s="31" t="n">
        <v>2280.27</v>
      </c>
      <c r="O48" s="31" t="n">
        <v>1771.04</v>
      </c>
      <c r="P48" s="31" t="n">
        <v>1893.85</v>
      </c>
      <c r="Q48" s="31" t="n">
        <v>1957.44</v>
      </c>
      <c r="R48" s="31" t="n">
        <v>1964.24</v>
      </c>
      <c r="S48" s="31" t="n">
        <v>1848.32</v>
      </c>
      <c r="T48" s="31" t="n">
        <v>1928.85</v>
      </c>
      <c r="U48" s="31" t="n">
        <v>1083.92</v>
      </c>
      <c r="V48" s="27">
        <f>SUM(J48:U48)</f>
        <v/>
      </c>
    </row>
    <row r="49">
      <c r="A49" s="14" t="inlineStr">
        <is>
          <t>Repair and Maintenance</t>
        </is>
      </c>
      <c r="B49" s="214" t="inlineStr">
        <is>
          <t>5107 Septic + 5108 Plumbing + 5109 Misc + 5110 Equipment + 5111 Electrical + 5200 Park Supplies</t>
        </is>
      </c>
      <c r="C49" s="3" t="n"/>
      <c r="D49" s="31" t="n"/>
      <c r="E49" s="31" t="n">
        <v>10414.78</v>
      </c>
      <c r="F49" s="31" t="n">
        <v>10414.78</v>
      </c>
      <c r="G49" s="23" t="n">
        <v>10414.78</v>
      </c>
      <c r="H49" s="21">
        <f>((SUM(S49:U49)/$H$1)*12)</f>
        <v/>
      </c>
      <c r="I49" s="3" t="n"/>
      <c r="J49" s="31" t="n">
        <v>1761.97</v>
      </c>
      <c r="K49" s="31" t="n">
        <v>447.91</v>
      </c>
      <c r="L49" s="31" t="n">
        <v>847.9400000000001</v>
      </c>
      <c r="M49" s="31" t="n">
        <v>459.97</v>
      </c>
      <c r="N49" s="31" t="n">
        <v>893.71</v>
      </c>
      <c r="O49" s="31" t="n">
        <v>1117.36</v>
      </c>
      <c r="P49" s="31" t="n">
        <v>317.61</v>
      </c>
      <c r="Q49" s="31" t="n">
        <v>376.93</v>
      </c>
      <c r="R49" s="31" t="n">
        <v>1372.58</v>
      </c>
      <c r="S49" s="31" t="n">
        <v>1782.51</v>
      </c>
      <c r="T49" s="31" t="n">
        <v>354.93</v>
      </c>
      <c r="U49" s="31" t="n">
        <v>0</v>
      </c>
      <c r="V49" s="27">
        <f>SUM(J49:U49)</f>
        <v/>
      </c>
    </row>
    <row r="50">
      <c r="A50" s="14" t="inlineStr">
        <is>
          <t>Ground Maintenance</t>
        </is>
      </c>
      <c r="B50" s="214" t="inlineStr">
        <is>
          <t>5102 Tree + 5103 Pest + 5104 Grounds Maintenance</t>
        </is>
      </c>
      <c r="C50" s="3" t="n"/>
      <c r="D50" s="31" t="n"/>
      <c r="E50" s="31" t="n">
        <v>13943.64</v>
      </c>
      <c r="F50" s="31" t="n">
        <v>13943.64</v>
      </c>
      <c r="G50" s="23" t="n">
        <v>13943.64</v>
      </c>
      <c r="H50" s="21">
        <f>((SUM(S50:U50)/$H$1)*12)</f>
        <v/>
      </c>
      <c r="I50" s="3" t="n"/>
      <c r="J50" s="31" t="n">
        <v>0</v>
      </c>
      <c r="K50" s="31" t="n">
        <v>0</v>
      </c>
      <c r="L50" s="31" t="n">
        <v>50.99</v>
      </c>
      <c r="M50" s="31" t="n">
        <v>0</v>
      </c>
      <c r="N50" s="31" t="n">
        <v>52</v>
      </c>
      <c r="O50" s="31" t="n">
        <v>22.98</v>
      </c>
      <c r="P50" s="31" t="n">
        <v>956.1900000000001</v>
      </c>
      <c r="Q50" s="31" t="n">
        <v>423.6</v>
      </c>
      <c r="R50" s="31" t="n">
        <v>147.38</v>
      </c>
      <c r="S50" s="31" t="n">
        <v>560.66</v>
      </c>
      <c r="T50" s="31" t="n">
        <v>5729.84</v>
      </c>
      <c r="U50" s="31" t="n">
        <v>6000</v>
      </c>
      <c r="V50" s="27">
        <f>SUM(J50:U50)</f>
        <v/>
      </c>
    </row>
    <row r="51">
      <c r="A51" s="14" t="inlineStr">
        <is>
          <t>Management Fee</t>
        </is>
      </c>
      <c r="B51" s="214" t="inlineStr">
        <is>
          <t>5000 Management Fees Expense (OVERRIDDEN)</t>
        </is>
      </c>
      <c r="C51" s="3" t="n"/>
      <c r="D51" s="31" t="n"/>
      <c r="E51" s="31" t="n">
        <v>43799.97</v>
      </c>
      <c r="F51" s="31" t="n">
        <v>43799.97</v>
      </c>
      <c r="G51" s="23" t="n">
        <v>43799.97</v>
      </c>
      <c r="H51" s="21">
        <f>((SUM(S51:U51)/$H$1)*12)</f>
        <v/>
      </c>
      <c r="I51" s="3" t="n"/>
      <c r="J51" s="31" t="n">
        <v>3420.21</v>
      </c>
      <c r="K51" s="31" t="n">
        <v>4344.21</v>
      </c>
      <c r="L51" s="31" t="n">
        <v>3638.85</v>
      </c>
      <c r="M51" s="31" t="n">
        <v>3638.84</v>
      </c>
      <c r="N51" s="31" t="n">
        <v>3723.95</v>
      </c>
      <c r="O51" s="31" t="n">
        <v>3673.68</v>
      </c>
      <c r="P51" s="31" t="n">
        <v>3638.72</v>
      </c>
      <c r="Q51" s="31" t="n">
        <v>3620.6</v>
      </c>
      <c r="R51" s="31" t="n">
        <v>3544.15</v>
      </c>
      <c r="S51" s="31" t="n">
        <v>3520.16</v>
      </c>
      <c r="T51" s="31" t="n">
        <v>3506.55</v>
      </c>
      <c r="U51" s="31" t="n">
        <v>3530.05</v>
      </c>
      <c r="V51" s="27">
        <f>SUM(J51:U51)</f>
        <v/>
      </c>
    </row>
    <row r="52">
      <c r="A52" s="14" t="inlineStr">
        <is>
          <t>Payroll</t>
        </is>
      </c>
      <c r="B52" s="214" t="inlineStr">
        <is>
          <t>5700 Total Personnel (wages, taxes, benefits, casual labour, WC)</t>
        </is>
      </c>
      <c r="C52" s="3" t="n"/>
      <c r="D52" s="31" t="n"/>
      <c r="E52" s="31" t="n">
        <v>103292.34</v>
      </c>
      <c r="F52" s="31" t="n">
        <v>103292.34</v>
      </c>
      <c r="G52" s="23" t="n">
        <v>103292.34</v>
      </c>
      <c r="H52" s="21">
        <f>((SUM(S52:U52)/$H$1)*12)</f>
        <v/>
      </c>
      <c r="I52" s="3" t="n"/>
      <c r="J52" s="31" t="n">
        <v>5423.04</v>
      </c>
      <c r="K52" s="31" t="n">
        <v>5790.08</v>
      </c>
      <c r="L52" s="31" t="n">
        <v>9007.66</v>
      </c>
      <c r="M52" s="31" t="n">
        <v>8342.9</v>
      </c>
      <c r="N52" s="31" t="n">
        <v>8129.43</v>
      </c>
      <c r="O52" s="31" t="n">
        <v>7828.83</v>
      </c>
      <c r="P52" s="31" t="n">
        <v>7058.22</v>
      </c>
      <c r="Q52" s="31" t="n">
        <v>9548.719999999999</v>
      </c>
      <c r="R52" s="31" t="n">
        <v>9080.27</v>
      </c>
      <c r="S52" s="31" t="n">
        <v>8744.73</v>
      </c>
      <c r="T52" s="31" t="n">
        <v>13938.46</v>
      </c>
      <c r="U52" s="31" t="n">
        <v>10400</v>
      </c>
      <c r="V52" s="27">
        <f>SUM(J52:U52)</f>
        <v/>
      </c>
    </row>
    <row r="53">
      <c r="A53" s="14" t="inlineStr">
        <is>
          <t>General and Administrative</t>
        </is>
      </c>
      <c r="B53" s="214" t="inlineStr">
        <is>
          <t>5070 Licenses + 5072 Dues + 5407 Tenant Cable TV + 5601-5650 Office/Bank</t>
        </is>
      </c>
      <c r="C53" s="3" t="n"/>
      <c r="D53" s="31" t="n"/>
      <c r="E53" s="31" t="n">
        <v>84160.86</v>
      </c>
      <c r="F53" s="31" t="n">
        <v>84160.86</v>
      </c>
      <c r="G53" s="23" t="n">
        <v>84160.86</v>
      </c>
      <c r="H53" s="21">
        <f>((SUM(S53:U53)/$H$1)*12)</f>
        <v/>
      </c>
      <c r="I53" s="3" t="n"/>
      <c r="J53" s="31" t="n">
        <v>7398.55</v>
      </c>
      <c r="K53" s="31" t="n">
        <v>6595.16</v>
      </c>
      <c r="L53" s="31" t="n">
        <v>6927.5</v>
      </c>
      <c r="M53" s="31" t="n">
        <v>6987.85</v>
      </c>
      <c r="N53" s="31" t="n">
        <v>6982.16</v>
      </c>
      <c r="O53" s="31" t="n">
        <v>6957.32</v>
      </c>
      <c r="P53" s="31" t="n">
        <v>6892.59</v>
      </c>
      <c r="Q53" s="31" t="n">
        <v>6936.46</v>
      </c>
      <c r="R53" s="31" t="n">
        <v>6800.81</v>
      </c>
      <c r="S53" s="31" t="n">
        <v>6792.78</v>
      </c>
      <c r="T53" s="31" t="n">
        <v>6905.58</v>
      </c>
      <c r="U53" s="31" t="n">
        <v>6256</v>
      </c>
      <c r="V53" s="27">
        <f>SUM(J53:U53)</f>
        <v/>
      </c>
    </row>
    <row r="54">
      <c r="A54" s="14" t="inlineStr">
        <is>
          <t>Professional Fees</t>
        </is>
      </c>
      <c r="B54" s="214" t="inlineStr">
        <is>
          <t>5062 Legal Fees</t>
        </is>
      </c>
      <c r="C54" s="3" t="n"/>
      <c r="D54" s="31" t="n"/>
      <c r="E54" s="31" t="n">
        <v>4201.25</v>
      </c>
      <c r="F54" s="31" t="n">
        <v>4201.25</v>
      </c>
      <c r="G54" s="23" t="n">
        <v>4201.25</v>
      </c>
      <c r="H54" s="21">
        <f>((SUM(S54:U54)/$H$1)*12)</f>
        <v/>
      </c>
      <c r="I54" s="3" t="n"/>
      <c r="J54" s="31" t="n">
        <v>385</v>
      </c>
      <c r="K54" s="31" t="n">
        <v>0</v>
      </c>
      <c r="L54" s="31" t="n">
        <v>0</v>
      </c>
      <c r="M54" s="31" t="n">
        <v>0</v>
      </c>
      <c r="N54" s="31" t="n">
        <v>330</v>
      </c>
      <c r="O54" s="31" t="n">
        <v>0</v>
      </c>
      <c r="P54" s="31" t="n">
        <v>1305.25</v>
      </c>
      <c r="Q54" s="31" t="n">
        <v>1878.5</v>
      </c>
      <c r="R54" s="31" t="n">
        <v>247.5</v>
      </c>
      <c r="S54" s="31" t="n">
        <v>55</v>
      </c>
      <c r="T54" s="31" t="n">
        <v>0</v>
      </c>
      <c r="U54" s="31" t="n">
        <v>0</v>
      </c>
      <c r="V54" s="27">
        <f>SUM(J54:U54)</f>
        <v/>
      </c>
    </row>
    <row r="55">
      <c r="A55" s="14" t="inlineStr">
        <is>
          <t>Advertising</t>
        </is>
      </c>
      <c r="B55" s="214" t="inlineStr">
        <is>
          <t>5001 Advertising</t>
        </is>
      </c>
      <c r="C55" s="3" t="n"/>
      <c r="D55" s="31" t="n"/>
      <c r="E55" s="31" t="n">
        <v>2468.26</v>
      </c>
      <c r="F55" s="31" t="n">
        <v>2468.26</v>
      </c>
      <c r="G55" s="23" t="n">
        <v>2468.26</v>
      </c>
      <c r="H55" s="21">
        <f>((SUM(S55:U55)/$H$1)*12)</f>
        <v/>
      </c>
      <c r="I55" s="3" t="n"/>
      <c r="J55" s="31" t="n">
        <v>0</v>
      </c>
      <c r="K55" s="31" t="n">
        <v>1448</v>
      </c>
      <c r="L55" s="31" t="n">
        <v>58.2</v>
      </c>
      <c r="M55" s="31" t="n">
        <v>58.2</v>
      </c>
      <c r="N55" s="31" t="n">
        <v>58.2</v>
      </c>
      <c r="O55" s="31" t="n">
        <v>58.2</v>
      </c>
      <c r="P55" s="31" t="n">
        <v>202.12</v>
      </c>
      <c r="Q55" s="31" t="n">
        <v>58.2</v>
      </c>
      <c r="R55" s="31" t="n">
        <v>58.19</v>
      </c>
      <c r="S55" s="31" t="n">
        <v>310.28</v>
      </c>
      <c r="T55" s="31" t="n">
        <v>100.48</v>
      </c>
      <c r="U55" s="31" t="n">
        <v>58.19</v>
      </c>
      <c r="V55" s="27">
        <f>SUM(J55:U55)</f>
        <v/>
      </c>
    </row>
    <row r="56">
      <c r="A56" s="14" t="inlineStr">
        <is>
          <t>Other</t>
        </is>
      </c>
      <c r="B56" s="214" t="inlineStr">
        <is>
          <t>5409 Rentals - Coin Laundry</t>
        </is>
      </c>
      <c r="C56" s="3" t="n"/>
      <c r="D56" s="31" t="n"/>
      <c r="E56" s="31" t="n">
        <v>1080</v>
      </c>
      <c r="F56" s="31" t="n">
        <v>1080</v>
      </c>
      <c r="G56" s="23" t="n">
        <v>1080</v>
      </c>
      <c r="H56" s="21">
        <f>((SUM(S56:U56)/$H$1)*12)</f>
        <v/>
      </c>
      <c r="I56" s="3" t="n"/>
      <c r="J56" s="31" t="n">
        <v>90</v>
      </c>
      <c r="K56" s="31" t="n">
        <v>90</v>
      </c>
      <c r="L56" s="31" t="n">
        <v>90</v>
      </c>
      <c r="M56" s="31" t="n">
        <v>90</v>
      </c>
      <c r="N56" s="31" t="n">
        <v>90</v>
      </c>
      <c r="O56" s="31" t="n">
        <v>90</v>
      </c>
      <c r="P56" s="31" t="n">
        <v>90</v>
      </c>
      <c r="Q56" s="31" t="n">
        <v>90</v>
      </c>
      <c r="R56" s="31" t="n">
        <v>90</v>
      </c>
      <c r="S56" s="31" t="n">
        <v>90</v>
      </c>
      <c r="T56" s="31" t="n">
        <v>90</v>
      </c>
      <c r="U56" s="31" t="n">
        <v>90</v>
      </c>
      <c r="V56" s="27">
        <f>SUM(J56:U56)</f>
        <v/>
      </c>
    </row>
    <row r="57">
      <c r="A57" s="14" t="inlineStr">
        <is>
          <t>Cap-Ex Reserve</t>
        </is>
      </c>
      <c r="B57" s="128" t="inlineStr">
        <is>
          <t>GGC synthetic reserve (not in seller financials)</t>
        </is>
      </c>
      <c r="C57" s="3" t="n"/>
      <c r="D57" s="31" t="n"/>
      <c r="E57" s="31" t="n">
        <v>0</v>
      </c>
      <c r="F57" s="128" t="n">
        <v>0</v>
      </c>
      <c r="G57" s="23" t="n">
        <v>0</v>
      </c>
      <c r="H57" s="21">
        <f>((SUM(S57:U57)/$H$1)*12)</f>
        <v/>
      </c>
      <c r="I57" s="3" t="n"/>
      <c r="J57" s="31" t="n">
        <v>0</v>
      </c>
      <c r="K57" s="31" t="n">
        <v>0</v>
      </c>
      <c r="L57" s="31" t="n">
        <v>0</v>
      </c>
      <c r="M57" s="31" t="n">
        <v>0</v>
      </c>
      <c r="N57" s="31" t="n">
        <v>0</v>
      </c>
      <c r="O57" s="31" t="n">
        <v>0</v>
      </c>
      <c r="P57" s="31" t="n">
        <v>0</v>
      </c>
      <c r="Q57" s="31" t="n">
        <v>0</v>
      </c>
      <c r="R57" s="31" t="n">
        <v>0</v>
      </c>
      <c r="S57" s="31" t="n">
        <v>0</v>
      </c>
      <c r="T57" s="31" t="n">
        <v>0</v>
      </c>
      <c r="U57" s="31" t="n">
        <v>0</v>
      </c>
      <c r="V57" s="27">
        <f>SUM(J57:U57)</f>
        <v/>
      </c>
    </row>
    <row r="58" outlineLevel="1" ht="13.5" customHeight="1">
      <c r="A58" s="14" t="n"/>
      <c r="B58" s="214" t="n"/>
      <c r="C58" s="3" t="n"/>
      <c r="D58" s="31" t="n"/>
      <c r="E58" s="31" t="n"/>
      <c r="F58" s="31" t="n"/>
      <c r="G58" s="23" t="n"/>
      <c r="H58" s="21">
        <f>((SUM(S58:U58)/$H$1)*12)</f>
        <v/>
      </c>
      <c r="I58" s="3" t="n"/>
      <c r="J58" s="31" t="n"/>
      <c r="K58" s="31" t="n"/>
      <c r="L58" s="31" t="n"/>
      <c r="M58" s="31" t="n"/>
      <c r="N58" s="31" t="n"/>
      <c r="O58" s="31" t="n"/>
      <c r="P58" s="31" t="n"/>
      <c r="Q58" s="31" t="n"/>
      <c r="R58" s="31" t="n"/>
      <c r="S58" s="31" t="n"/>
      <c r="T58" s="31" t="n"/>
      <c r="U58" s="31" t="n"/>
      <c r="V58" s="27">
        <f>SUM(J58:U58)</f>
        <v/>
      </c>
    </row>
    <row r="59" ht="4.5" customFormat="1" customHeight="1" s="3">
      <c r="B59" s="310" t="n"/>
      <c r="G59" s="20" t="n"/>
      <c r="H59" s="20" t="n"/>
      <c r="J59" s="20" t="n"/>
      <c r="K59" s="20" t="n"/>
      <c r="L59" s="20" t="n"/>
      <c r="M59" s="20" t="n"/>
      <c r="N59" s="20" t="n"/>
      <c r="O59" s="20" t="n"/>
      <c r="P59" s="20" t="n"/>
      <c r="Q59" s="20" t="n"/>
      <c r="R59" s="20" t="n"/>
      <c r="S59" s="20" t="n"/>
      <c r="T59" s="20" t="n"/>
      <c r="U59" s="20" t="n"/>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n"/>
      <c r="B60" s="3" t="n"/>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n"/>
      <c r="B61" s="17" t="inlineStr">
        <is>
          <t>Input Source Data</t>
        </is>
      </c>
      <c r="C61" s="3" t="n"/>
      <c r="D61" s="11" t="n"/>
      <c r="E61" s="11" t="n"/>
      <c r="F61" s="11" t="n"/>
      <c r="G61" s="10" t="n"/>
      <c r="H61" s="11" t="n"/>
      <c r="I61" s="3" t="n"/>
      <c r="J61" s="10" t="n"/>
      <c r="K61" s="10" t="n"/>
      <c r="L61" s="10" t="n"/>
      <c r="M61" s="10" t="n"/>
      <c r="N61" s="10" t="n"/>
      <c r="O61" s="10" t="n"/>
      <c r="P61" s="10" t="n"/>
      <c r="Q61" s="10" t="n"/>
      <c r="R61" s="10" t="n"/>
      <c r="S61" s="10" t="n"/>
      <c r="T61" s="10" t="n"/>
      <c r="U61" s="10" t="n"/>
      <c r="V61" s="10" t="n"/>
    </row>
    <row r="62" ht="17.25" customHeight="1">
      <c r="A62" s="3" t="n"/>
      <c r="B62" s="16" t="inlineStr">
        <is>
          <t>Check</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n"/>
      <c r="B64" s="24" t="inlineStr">
        <is>
          <t>Net Operating Income</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row r="67" customFormat="1" s="59"/>
    <row r="68" customFormat="1" s="59">
      <c r="L68" s="322" t="n"/>
    </row>
    <row r="69" customFormat="1" s="59"/>
    <row r="70" customFormat="1" s="59"/>
    <row r="71" customFormat="1" s="59">
      <c r="E71" s="322" t="n"/>
    </row>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DH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B1" s="289" t="n"/>
      <c r="C1" s="290" t="n"/>
      <c r="D1" s="290" t="n"/>
      <c r="E1" s="290" t="n"/>
      <c r="F1" s="290" t="n"/>
      <c r="G1" s="290" t="n"/>
      <c r="H1" s="290" t="n"/>
      <c r="I1" s="290" t="n"/>
      <c r="J1" s="290" t="n"/>
      <c r="K1" s="290" t="n"/>
      <c r="L1" s="290" t="n"/>
      <c r="M1" s="290" t="n"/>
      <c r="N1" s="290" t="n"/>
      <c r="O1" s="290" t="n"/>
      <c r="P1" s="290" t="n"/>
      <c r="Q1" s="289" t="n"/>
      <c r="R1" s="289" t="n"/>
      <c r="S1" s="289" t="n"/>
      <c r="T1" s="289" t="n"/>
      <c r="U1" s="289" t="n"/>
      <c r="V1" s="289" t="n"/>
      <c r="W1" s="289" t="n"/>
      <c r="X1" s="289" t="n"/>
      <c r="Y1" s="289" t="n"/>
      <c r="Z1" s="289" t="n"/>
      <c r="AA1" s="289" t="n"/>
      <c r="AB1" s="289" t="n"/>
      <c r="AC1" s="289" t="n"/>
      <c r="AD1" s="289" t="n"/>
      <c r="AE1" s="289" t="n"/>
      <c r="AF1" s="28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 April 2026</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23" t="n"/>
      <c r="AC1" s="123" t="n"/>
      <c r="AD1" s="123" t="n"/>
      <c r="AE1" s="123" t="n"/>
      <c r="AF1" s="123" t="n"/>
      <c r="AG1" s="123" t="n"/>
      <c r="AH1" s="123" t="n"/>
      <c r="AI1" s="123" t="n"/>
      <c r="AJ1" s="123" t="n"/>
      <c r="AK1" s="123" t="n"/>
      <c r="AL1" s="123" t="n"/>
      <c r="AM1" s="123" t="n"/>
      <c r="AN1" s="123" t="n"/>
      <c r="AO1" s="123" t="n"/>
      <c r="AP1" s="123" t="n"/>
      <c r="AQ1" s="123" t="n"/>
      <c r="AR1" s="123" t="n"/>
      <c r="AS1" s="123" t="n"/>
      <c r="AT1" s="123" t="n"/>
      <c r="AU1" s="123" t="n"/>
      <c r="AV1" s="123" t="n"/>
      <c r="AW1" s="123" t="n"/>
      <c r="AX1" s="123" t="n"/>
      <c r="AY1" s="123" t="n"/>
      <c r="AZ1" s="123" t="n"/>
      <c r="BA1" s="123" t="n"/>
      <c r="BB1" s="123" t="n"/>
      <c r="BC1" s="123" t="n"/>
      <c r="BD1" s="123" t="n"/>
      <c r="BE1" s="123" t="n"/>
      <c r="BF1" s="123" t="n"/>
      <c r="BG1" s="123" t="n"/>
      <c r="BH1" s="123" t="n"/>
      <c r="BI1" s="123" t="n"/>
      <c r="BJ1" s="123" t="n"/>
      <c r="BK1" s="123" t="n"/>
      <c r="BL1" s="123" t="n"/>
      <c r="BM1" s="123" t="n"/>
      <c r="BN1" s="123" t="n"/>
      <c r="BO1" s="123" t="n"/>
      <c r="BP1" s="123" t="n"/>
      <c r="BQ1" s="123" t="n"/>
      <c r="BR1" s="123" t="n"/>
      <c r="BS1" s="123" t="n"/>
      <c r="BT1" s="123" t="n"/>
      <c r="BU1" s="123" t="n"/>
      <c r="BV1" s="123" t="n"/>
      <c r="BW1" s="123" t="n"/>
      <c r="BX1" s="123" t="n"/>
      <c r="BY1" s="123" t="n"/>
      <c r="BZ1" s="123" t="n"/>
      <c r="CA1" s="123" t="n"/>
      <c r="CB1" s="123" t="n"/>
      <c r="CC1" s="123" t="n"/>
      <c r="CD1" s="123" t="n"/>
      <c r="CE1" s="123" t="n"/>
      <c r="CF1" s="123" t="n"/>
      <c r="CG1" s="123" t="n"/>
      <c r="CH1" s="123" t="n"/>
      <c r="CI1" s="123" t="n"/>
      <c r="CJ1" s="123" t="n"/>
      <c r="CK1" s="123"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row>
    <row r="2" ht="48" customFormat="1" customHeight="1" s="36" thickBot="1">
      <c r="A2" s="277" t="inlineStr">
        <is>
          <t>Count</t>
        </is>
      </c>
      <c r="B2" s="277" t="inlineStr">
        <is>
          <t>Unit</t>
        </is>
      </c>
      <c r="C2" s="277" t="inlineStr">
        <is>
          <t>Unit Type</t>
        </is>
      </c>
      <c r="D2" s="277" t="inlineStr">
        <is>
          <t>Occupied or Vacant</t>
        </is>
      </c>
      <c r="E2" s="278" t="n"/>
      <c r="F2" s="279" t="inlineStr">
        <is>
          <t>Name</t>
        </is>
      </c>
      <c r="G2" s="279" t="inlineStr">
        <is>
          <t>Type detail</t>
        </is>
      </c>
      <c r="H2" s="280" t="inlineStr">
        <is>
          <t>Type code</t>
        </is>
      </c>
      <c r="I2" s="281" t="inlineStr">
        <is>
          <t>Lot Rent</t>
        </is>
      </c>
      <c r="J2" s="282" t="inlineStr">
        <is>
          <t>Home Rent</t>
        </is>
      </c>
      <c r="K2" s="282" t="inlineStr">
        <is>
          <t>Combined</t>
        </is>
      </c>
      <c r="L2" s="282" t="n"/>
      <c r="M2" s="283" t="inlineStr">
        <is>
          <t>Combined</t>
        </is>
      </c>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row>
    <row r="3" ht="15" customHeight="1">
      <c r="A3" s="38">
        <f>IF(C3="","",ROW()-2)</f>
        <v/>
      </c>
      <c r="B3" s="222" t="inlineStr"/>
      <c r="C3" s="222" t="inlineStr">
        <is>
          <t>TOH MH Site</t>
        </is>
      </c>
      <c r="D3" s="40" t="inlineStr">
        <is>
          <t>Occupied</t>
        </is>
      </c>
      <c r="E3" s="319" t="n"/>
      <c r="F3" s="55" t="inlineStr">
        <is>
          <t>Individual tenants (names not provided in extraction) 1</t>
        </is>
      </c>
      <c r="G3" s="55" t="n"/>
      <c r="H3" s="49" t="n"/>
      <c r="I3" s="51" t="n">
        <v>966.38</v>
      </c>
      <c r="J3" s="272" t="n">
        <v>0</v>
      </c>
      <c r="K3" s="52">
        <f>IFERROR(I3+J3,0)</f>
        <v/>
      </c>
      <c r="L3" s="53" t="n"/>
      <c r="M3" s="54">
        <f>K3+L3+I3</f>
        <v/>
      </c>
      <c r="N3" s="43" t="n"/>
      <c r="O3" s="44" t="n"/>
      <c r="P3" s="45" t="n"/>
      <c r="Q3" s="43" t="n"/>
      <c r="R3" s="56" t="n"/>
      <c r="S3" s="41" t="n"/>
      <c r="T3" s="47" t="n"/>
    </row>
    <row r="4" ht="15" customHeight="1">
      <c r="A4" s="39">
        <f>IF(C4="","",ROW()-2)</f>
        <v/>
      </c>
      <c r="B4" s="222" t="inlineStr"/>
      <c r="C4" s="222" t="inlineStr">
        <is>
          <t>TOH MH Site</t>
        </is>
      </c>
      <c r="D4" s="40" t="inlineStr">
        <is>
          <t>Occupied</t>
        </is>
      </c>
      <c r="E4" s="319" t="n"/>
      <c r="F4" s="55" t="inlineStr">
        <is>
          <t>Individual tenants (names not provided in extraction) 2</t>
        </is>
      </c>
      <c r="G4" s="55" t="n"/>
      <c r="H4" s="50" t="n"/>
      <c r="I4" s="37" t="n">
        <v>966.38</v>
      </c>
      <c r="J4" s="273" t="n">
        <v>0</v>
      </c>
      <c r="K4" s="35">
        <f>IFERROR(I4+J4,0)</f>
        <v/>
      </c>
      <c r="L4" s="48" t="n"/>
      <c r="M4" s="50">
        <f>K4+L4+I4</f>
        <v/>
      </c>
      <c r="N4" s="46" t="n"/>
      <c r="O4" s="41" t="n"/>
      <c r="P4" s="47" t="n"/>
      <c r="Q4" s="46" t="n"/>
      <c r="R4" s="57" t="n"/>
      <c r="S4" s="41" t="n"/>
      <c r="T4" s="47" t="n"/>
    </row>
    <row r="5" ht="15" customHeight="1">
      <c r="A5" s="39">
        <f>IF(C5="","",ROW()-2)</f>
        <v/>
      </c>
      <c r="B5" s="222" t="inlineStr"/>
      <c r="C5" s="222" t="inlineStr">
        <is>
          <t>TOH MH Site</t>
        </is>
      </c>
      <c r="D5" s="40" t="inlineStr">
        <is>
          <t>Occupied</t>
        </is>
      </c>
      <c r="E5" s="319" t="n"/>
      <c r="F5" s="55" t="inlineStr">
        <is>
          <t>Individual tenants (names not provided in extraction) 3</t>
        </is>
      </c>
      <c r="G5" s="55" t="n"/>
      <c r="H5" s="50" t="n"/>
      <c r="I5" s="37" t="n">
        <v>966.38</v>
      </c>
      <c r="J5" s="273" t="n">
        <v>0</v>
      </c>
      <c r="K5" s="35">
        <f>IFERROR(I5+J5,0)</f>
        <v/>
      </c>
      <c r="L5" s="48" t="n"/>
      <c r="M5" s="50">
        <f>K5+L5+I5</f>
        <v/>
      </c>
      <c r="N5" s="46" t="n"/>
      <c r="O5" s="41" t="n"/>
      <c r="P5" s="47" t="n"/>
      <c r="Q5" s="46" t="n"/>
      <c r="R5" s="57" t="n"/>
      <c r="S5" s="41" t="n"/>
      <c r="T5" s="47" t="n"/>
    </row>
    <row r="6" ht="15" customHeight="1">
      <c r="A6" s="39">
        <f>IF(C6="","",ROW()-2)</f>
        <v/>
      </c>
      <c r="B6" s="222" t="inlineStr"/>
      <c r="C6" s="222" t="inlineStr">
        <is>
          <t>TOH MH Site</t>
        </is>
      </c>
      <c r="D6" s="40" t="inlineStr">
        <is>
          <t>Occupied</t>
        </is>
      </c>
      <c r="E6" s="319" t="n"/>
      <c r="F6" s="55" t="inlineStr">
        <is>
          <t>Individual tenants (names not provided in extraction) 4</t>
        </is>
      </c>
      <c r="G6" s="55" t="n"/>
      <c r="H6" s="50" t="n"/>
      <c r="I6" s="37" t="n">
        <v>966.38</v>
      </c>
      <c r="J6" s="273" t="n">
        <v>0</v>
      </c>
      <c r="K6" s="35">
        <f>IFERROR(I6+J6,0)</f>
        <v/>
      </c>
      <c r="L6" s="48" t="n"/>
      <c r="M6" s="50">
        <f>K6+L6+I6</f>
        <v/>
      </c>
      <c r="N6" s="46" t="n"/>
      <c r="O6" s="41" t="n"/>
      <c r="P6" s="47" t="n"/>
      <c r="Q6" s="46" t="n"/>
      <c r="R6" s="57" t="n"/>
      <c r="S6" s="41" t="n"/>
      <c r="T6" s="47" t="n"/>
    </row>
    <row r="7" ht="15" customHeight="1">
      <c r="A7" s="39">
        <f>IF(C7="","",ROW()-2)</f>
        <v/>
      </c>
      <c r="B7" s="222" t="inlineStr"/>
      <c r="C7" s="222" t="inlineStr">
        <is>
          <t>TOH MH Site</t>
        </is>
      </c>
      <c r="D7" s="40" t="inlineStr">
        <is>
          <t>Occupied</t>
        </is>
      </c>
      <c r="E7" s="319" t="n"/>
      <c r="F7" s="55" t="inlineStr">
        <is>
          <t>Individual tenants (names not provided in extraction) 5</t>
        </is>
      </c>
      <c r="G7" s="55" t="n"/>
      <c r="H7" s="50" t="n"/>
      <c r="I7" s="37" t="n">
        <v>966.38</v>
      </c>
      <c r="J7" s="273" t="n">
        <v>0</v>
      </c>
      <c r="K7" s="35">
        <f>IFERROR(I7+J7,0)</f>
        <v/>
      </c>
      <c r="L7" s="48" t="n"/>
      <c r="M7" s="50">
        <f>K7+L7+I7</f>
        <v/>
      </c>
      <c r="N7" s="46" t="n"/>
      <c r="O7" s="41" t="n"/>
      <c r="P7" s="47" t="n"/>
      <c r="Q7" s="46" t="n"/>
      <c r="R7" s="57" t="n"/>
      <c r="S7" s="41" t="n"/>
      <c r="T7" s="47" t="n"/>
    </row>
    <row r="8" ht="15" customHeight="1">
      <c r="A8" s="39">
        <f>IF(C8="","",ROW()-2)</f>
        <v/>
      </c>
      <c r="B8" s="222" t="inlineStr"/>
      <c r="C8" s="222" t="inlineStr">
        <is>
          <t>TOH MH Site</t>
        </is>
      </c>
      <c r="D8" s="40" t="inlineStr">
        <is>
          <t>Occupied</t>
        </is>
      </c>
      <c r="E8" s="319" t="n"/>
      <c r="F8" s="55" t="inlineStr">
        <is>
          <t>Individual tenants (names not provided in extraction) 6</t>
        </is>
      </c>
      <c r="G8" s="55" t="n"/>
      <c r="H8" s="50" t="n"/>
      <c r="I8" s="37" t="n">
        <v>966.38</v>
      </c>
      <c r="J8" s="273" t="n">
        <v>0</v>
      </c>
      <c r="K8" s="35">
        <f>IFERROR(I8+J8,0)</f>
        <v/>
      </c>
      <c r="L8" s="48" t="n"/>
      <c r="M8" s="50">
        <f>K8+L8+I8</f>
        <v/>
      </c>
      <c r="N8" s="46" t="n"/>
      <c r="O8" s="41" t="n"/>
      <c r="P8" s="47" t="n"/>
      <c r="Q8" s="46" t="n"/>
      <c r="R8" s="57" t="n"/>
      <c r="S8" s="41" t="n"/>
      <c r="T8" s="47" t="n"/>
    </row>
    <row r="9" ht="15" customHeight="1">
      <c r="A9" s="39">
        <f>IF(C9="","",ROW()-2)</f>
        <v/>
      </c>
      <c r="B9" s="222" t="inlineStr"/>
      <c r="C9" s="222" t="inlineStr">
        <is>
          <t>TOH MH Site</t>
        </is>
      </c>
      <c r="D9" s="40" t="inlineStr">
        <is>
          <t>Occupied</t>
        </is>
      </c>
      <c r="E9" s="319" t="n"/>
      <c r="F9" s="55" t="inlineStr">
        <is>
          <t>Individual tenants (names not provided in extraction) 7</t>
        </is>
      </c>
      <c r="G9" s="55" t="n"/>
      <c r="H9" s="50" t="n"/>
      <c r="I9" s="37" t="n">
        <v>966.38</v>
      </c>
      <c r="J9" s="273" t="n">
        <v>0</v>
      </c>
      <c r="K9" s="35">
        <f>IFERROR(I9+J9,0)</f>
        <v/>
      </c>
      <c r="L9" s="48" t="n"/>
      <c r="M9" s="50">
        <f>K9+L9+I9</f>
        <v/>
      </c>
      <c r="N9" s="46" t="n"/>
      <c r="O9" s="41" t="n"/>
      <c r="P9" s="47" t="n"/>
      <c r="Q9" s="46" t="n"/>
      <c r="R9" s="57" t="n"/>
      <c r="S9" s="41" t="n"/>
      <c r="T9" s="47" t="n"/>
    </row>
    <row r="10" ht="15" customHeight="1">
      <c r="A10" s="39">
        <f>IF(C10="","",ROW()-2)</f>
        <v/>
      </c>
      <c r="B10" s="222" t="inlineStr"/>
      <c r="C10" s="222" t="inlineStr">
        <is>
          <t>TOH MH Site</t>
        </is>
      </c>
      <c r="D10" s="40" t="inlineStr">
        <is>
          <t>Occupied</t>
        </is>
      </c>
      <c r="E10" s="319" t="n"/>
      <c r="F10" s="55" t="inlineStr">
        <is>
          <t>Individual tenants (names not provided in extraction) 8</t>
        </is>
      </c>
      <c r="G10" s="55" t="n"/>
      <c r="H10" s="50" t="n"/>
      <c r="I10" s="37" t="n">
        <v>966.38</v>
      </c>
      <c r="J10" s="273" t="n">
        <v>0</v>
      </c>
      <c r="K10" s="35">
        <f>IFERROR(I10+J10,0)</f>
        <v/>
      </c>
      <c r="L10" s="48" t="n"/>
      <c r="M10" s="50">
        <f>K10+L10+I10</f>
        <v/>
      </c>
      <c r="N10" s="46" t="n"/>
      <c r="O10" s="41" t="n"/>
      <c r="P10" s="47" t="n"/>
      <c r="Q10" s="46" t="n"/>
      <c r="R10" s="57" t="n"/>
      <c r="S10" s="41" t="n"/>
      <c r="T10" s="47" t="n"/>
    </row>
    <row r="11" ht="15" customHeight="1">
      <c r="A11" s="39">
        <f>IF(C11="","",ROW()-2)</f>
        <v/>
      </c>
      <c r="B11" s="222" t="inlineStr"/>
      <c r="C11" s="222" t="inlineStr">
        <is>
          <t>TOH MH Site</t>
        </is>
      </c>
      <c r="D11" s="40" t="inlineStr">
        <is>
          <t>Occupied</t>
        </is>
      </c>
      <c r="E11" s="319" t="n"/>
      <c r="F11" s="55" t="inlineStr">
        <is>
          <t>Individual tenants (names not provided in extraction) 9</t>
        </is>
      </c>
      <c r="G11" s="55" t="n"/>
      <c r="H11" s="50" t="n"/>
      <c r="I11" s="37" t="n">
        <v>966.38</v>
      </c>
      <c r="J11" s="273" t="n">
        <v>0</v>
      </c>
      <c r="K11" s="35">
        <f>IFERROR(I11+J11,0)</f>
        <v/>
      </c>
      <c r="L11" s="48" t="n"/>
      <c r="M11" s="50">
        <f>K11+L11+I11</f>
        <v/>
      </c>
      <c r="N11" s="46" t="n"/>
      <c r="O11" s="41" t="n"/>
      <c r="P11" s="47" t="n"/>
      <c r="Q11" s="46" t="n"/>
      <c r="R11" s="57" t="n"/>
      <c r="S11" s="41" t="n"/>
      <c r="T11" s="47" t="n"/>
    </row>
    <row r="12" ht="15" customHeight="1">
      <c r="A12" s="39">
        <f>IF(C12="","",ROW()-2)</f>
        <v/>
      </c>
      <c r="B12" s="222" t="inlineStr"/>
      <c r="C12" s="222" t="inlineStr">
        <is>
          <t>TOH MH Site</t>
        </is>
      </c>
      <c r="D12" s="40" t="inlineStr">
        <is>
          <t>Occupied</t>
        </is>
      </c>
      <c r="E12" s="319" t="n"/>
      <c r="F12" s="55" t="inlineStr">
        <is>
          <t>Individual tenants (names not provided in extraction) 10</t>
        </is>
      </c>
      <c r="G12" s="55" t="n"/>
      <c r="H12" s="50" t="n"/>
      <c r="I12" s="37" t="n">
        <v>966.38</v>
      </c>
      <c r="J12" s="273" t="n">
        <v>0</v>
      </c>
      <c r="K12" s="35">
        <f>IFERROR(I12+J12,0)</f>
        <v/>
      </c>
      <c r="L12" s="48" t="n"/>
      <c r="M12" s="50">
        <f>K12+L12+I12</f>
        <v/>
      </c>
      <c r="N12" s="46" t="n"/>
      <c r="O12" s="41" t="n"/>
      <c r="P12" s="47" t="n"/>
      <c r="Q12" s="46" t="n"/>
      <c r="R12" s="57" t="n"/>
      <c r="S12" s="41" t="n"/>
      <c r="T12" s="47" t="n"/>
    </row>
    <row r="13" ht="15" customHeight="1">
      <c r="A13" s="39">
        <f>IF(C13="","",ROW()-2)</f>
        <v/>
      </c>
      <c r="B13" s="222" t="inlineStr"/>
      <c r="C13" s="222" t="inlineStr">
        <is>
          <t>TOH MH Site</t>
        </is>
      </c>
      <c r="D13" s="40" t="inlineStr">
        <is>
          <t>Occupied</t>
        </is>
      </c>
      <c r="E13" s="319" t="n"/>
      <c r="F13" s="55" t="inlineStr">
        <is>
          <t>Individual tenants (names not provided in extraction) 11</t>
        </is>
      </c>
      <c r="G13" s="55" t="n"/>
      <c r="H13" s="50" t="n"/>
      <c r="I13" s="37" t="n">
        <v>966.38</v>
      </c>
      <c r="J13" s="273" t="n">
        <v>0</v>
      </c>
      <c r="K13" s="35">
        <f>IFERROR(I13+J13,0)</f>
        <v/>
      </c>
      <c r="L13" s="48" t="n"/>
      <c r="M13" s="50">
        <f>K13+L13+I13</f>
        <v/>
      </c>
      <c r="N13" s="46" t="n"/>
      <c r="O13" s="41" t="n"/>
      <c r="P13" s="47" t="n"/>
      <c r="Q13" s="46" t="n"/>
      <c r="R13" s="57" t="n"/>
      <c r="S13" s="41" t="n"/>
      <c r="T13" s="47" t="n"/>
    </row>
    <row r="14" ht="15" customHeight="1">
      <c r="A14" s="39">
        <f>IF(C14="","",ROW()-2)</f>
        <v/>
      </c>
      <c r="B14" s="222" t="inlineStr"/>
      <c r="C14" s="222" t="inlineStr">
        <is>
          <t>TOH MH Site</t>
        </is>
      </c>
      <c r="D14" s="40" t="inlineStr">
        <is>
          <t>Occupied</t>
        </is>
      </c>
      <c r="E14" s="319" t="n"/>
      <c r="F14" s="55" t="inlineStr">
        <is>
          <t>Individual tenants (names not provided in extraction) 12</t>
        </is>
      </c>
      <c r="G14" s="55" t="n"/>
      <c r="H14" s="50" t="n"/>
      <c r="I14" s="37" t="n">
        <v>966.38</v>
      </c>
      <c r="J14" s="273" t="n">
        <v>0</v>
      </c>
      <c r="K14" s="35">
        <f>IFERROR(I14+J14,0)</f>
        <v/>
      </c>
      <c r="L14" s="48" t="n"/>
      <c r="M14" s="50">
        <f>K14+L14+I14</f>
        <v/>
      </c>
      <c r="N14" s="46" t="n"/>
      <c r="O14" s="41" t="n"/>
      <c r="P14" s="47" t="n"/>
      <c r="Q14" s="46" t="n"/>
      <c r="R14" s="57" t="n"/>
      <c r="S14" s="41" t="n"/>
      <c r="T14" s="47" t="n"/>
    </row>
    <row r="15" ht="15" customHeight="1">
      <c r="A15" s="39">
        <f>IF(C15="","",ROW()-2)</f>
        <v/>
      </c>
      <c r="B15" s="222" t="inlineStr"/>
      <c r="C15" s="222" t="inlineStr">
        <is>
          <t>TOH MH Site</t>
        </is>
      </c>
      <c r="D15" s="40" t="inlineStr">
        <is>
          <t>Occupied</t>
        </is>
      </c>
      <c r="E15" s="319" t="n"/>
      <c r="F15" s="55" t="inlineStr">
        <is>
          <t>Individual tenants (names not provided in extraction) 13</t>
        </is>
      </c>
      <c r="G15" s="55" t="n"/>
      <c r="H15" s="50" t="n"/>
      <c r="I15" s="37" t="n">
        <v>966.38</v>
      </c>
      <c r="J15" s="273" t="n">
        <v>0</v>
      </c>
      <c r="K15" s="35">
        <f>IFERROR(I15+J15,0)</f>
        <v/>
      </c>
      <c r="L15" s="48" t="n"/>
      <c r="M15" s="50">
        <f>K15+L15+I15</f>
        <v/>
      </c>
      <c r="N15" s="46" t="n"/>
      <c r="O15" s="41" t="n"/>
      <c r="P15" s="47" t="n"/>
      <c r="Q15" s="46" t="n"/>
      <c r="R15" s="57" t="n"/>
      <c r="S15" s="41" t="n"/>
      <c r="T15" s="47" t="n"/>
    </row>
    <row r="16" ht="15" customHeight="1">
      <c r="A16" s="39">
        <f>IF(C16="","",ROW()-2)</f>
        <v/>
      </c>
      <c r="B16" s="222" t="inlineStr"/>
      <c r="C16" s="222" t="inlineStr">
        <is>
          <t>TOH MH Site</t>
        </is>
      </c>
      <c r="D16" s="40" t="inlineStr">
        <is>
          <t>Occupied</t>
        </is>
      </c>
      <c r="E16" s="319" t="n"/>
      <c r="F16" s="55" t="inlineStr">
        <is>
          <t>Individual tenants (names not provided in extraction) 14</t>
        </is>
      </c>
      <c r="G16" s="55" t="n"/>
      <c r="H16" s="50" t="n"/>
      <c r="I16" s="37" t="n">
        <v>966.38</v>
      </c>
      <c r="J16" s="273" t="n">
        <v>0</v>
      </c>
      <c r="K16" s="35">
        <f>IFERROR(I16+J16,0)</f>
        <v/>
      </c>
      <c r="L16" s="48" t="n"/>
      <c r="M16" s="50">
        <f>K16+L16+I16</f>
        <v/>
      </c>
      <c r="N16" s="46" t="n"/>
      <c r="O16" s="41" t="n"/>
      <c r="P16" s="47" t="n"/>
      <c r="Q16" s="46" t="n"/>
      <c r="R16" s="57" t="n"/>
      <c r="S16" s="41" t="n"/>
      <c r="T16" s="47" t="n"/>
    </row>
    <row r="17" ht="15" customHeight="1">
      <c r="A17" s="39">
        <f>IF(C17="","",ROW()-2)</f>
        <v/>
      </c>
      <c r="B17" s="222" t="inlineStr"/>
      <c r="C17" s="222" t="inlineStr">
        <is>
          <t>TOH MH Site</t>
        </is>
      </c>
      <c r="D17" s="40" t="inlineStr">
        <is>
          <t>Occupied</t>
        </is>
      </c>
      <c r="E17" s="319" t="n"/>
      <c r="F17" s="55" t="inlineStr">
        <is>
          <t>Individual tenants (names not provided in extraction) 15</t>
        </is>
      </c>
      <c r="G17" s="55" t="n"/>
      <c r="H17" s="50" t="n"/>
      <c r="I17" s="37" t="n">
        <v>966.38</v>
      </c>
      <c r="J17" s="273" t="n">
        <v>0</v>
      </c>
      <c r="K17" s="35">
        <f>IFERROR(I17+J17,0)</f>
        <v/>
      </c>
      <c r="L17" s="48" t="n"/>
      <c r="M17" s="50">
        <f>K17+L17+I17</f>
        <v/>
      </c>
      <c r="N17" s="46" t="n"/>
      <c r="O17" s="41" t="n"/>
      <c r="P17" s="47" t="n"/>
      <c r="Q17" s="46" t="n"/>
      <c r="R17" s="57" t="n"/>
      <c r="S17" s="41" t="n"/>
      <c r="T17" s="47" t="n"/>
    </row>
    <row r="18" ht="15" customHeight="1">
      <c r="A18" s="39">
        <f>IF(C18="","",ROW()-2)</f>
        <v/>
      </c>
      <c r="B18" s="222" t="inlineStr"/>
      <c r="C18" s="222" t="inlineStr">
        <is>
          <t>TOH MH Site</t>
        </is>
      </c>
      <c r="D18" s="40" t="inlineStr">
        <is>
          <t>Occupied</t>
        </is>
      </c>
      <c r="E18" s="319" t="n"/>
      <c r="F18" s="55" t="inlineStr">
        <is>
          <t>Individual tenants (names not provided in extraction) 16</t>
        </is>
      </c>
      <c r="G18" s="55" t="n"/>
      <c r="H18" s="50" t="n"/>
      <c r="I18" s="37" t="n">
        <v>966.38</v>
      </c>
      <c r="J18" s="273" t="n">
        <v>0</v>
      </c>
      <c r="K18" s="35">
        <f>IFERROR(I18+J18,0)</f>
        <v/>
      </c>
      <c r="L18" s="48" t="n"/>
      <c r="M18" s="50">
        <f>K18+L18+I18</f>
        <v/>
      </c>
      <c r="N18" s="46" t="n"/>
      <c r="O18" s="41" t="n"/>
      <c r="P18" s="47" t="n"/>
      <c r="Q18" s="46" t="n"/>
      <c r="R18" s="57" t="n"/>
      <c r="S18" s="41" t="n"/>
      <c r="T18" s="47" t="n"/>
    </row>
    <row r="19" ht="15" customHeight="1">
      <c r="A19" s="39">
        <f>IF(C19="","",ROW()-2)</f>
        <v/>
      </c>
      <c r="B19" s="222" t="inlineStr"/>
      <c r="C19" s="222" t="inlineStr">
        <is>
          <t>TOH MH Site</t>
        </is>
      </c>
      <c r="D19" s="40" t="inlineStr">
        <is>
          <t>Occupied</t>
        </is>
      </c>
      <c r="E19" s="319" t="n"/>
      <c r="F19" s="55" t="inlineStr">
        <is>
          <t>Individual tenants (names not provided in extraction) 17</t>
        </is>
      </c>
      <c r="G19" s="55" t="n"/>
      <c r="H19" s="50" t="n"/>
      <c r="I19" s="37" t="n">
        <v>966.38</v>
      </c>
      <c r="J19" s="273" t="n">
        <v>0</v>
      </c>
      <c r="K19" s="35">
        <f>IFERROR(I19+J19,0)</f>
        <v/>
      </c>
      <c r="L19" s="48" t="n"/>
      <c r="M19" s="50">
        <f>K19+L19+I19</f>
        <v/>
      </c>
      <c r="N19" s="46" t="n"/>
      <c r="O19" s="41" t="n"/>
      <c r="P19" s="47" t="n"/>
      <c r="Q19" s="46" t="n"/>
      <c r="R19" s="57" t="n"/>
      <c r="S19" s="41" t="n"/>
      <c r="T19" s="47" t="n"/>
    </row>
    <row r="20" ht="15" customHeight="1">
      <c r="A20" s="39">
        <f>IF(C20="","",ROW()-2)</f>
        <v/>
      </c>
      <c r="B20" s="222" t="inlineStr"/>
      <c r="C20" s="222" t="inlineStr">
        <is>
          <t>TOH MH Site</t>
        </is>
      </c>
      <c r="D20" s="40" t="inlineStr">
        <is>
          <t>Occupied</t>
        </is>
      </c>
      <c r="E20" s="319" t="n"/>
      <c r="F20" s="55" t="inlineStr">
        <is>
          <t>Individual tenants (names not provided in extraction) 18</t>
        </is>
      </c>
      <c r="G20" s="55" t="n"/>
      <c r="H20" s="50" t="n"/>
      <c r="I20" s="37" t="n">
        <v>966.38</v>
      </c>
      <c r="J20" s="273" t="n">
        <v>0</v>
      </c>
      <c r="K20" s="35">
        <f>IFERROR(I20+J20,0)</f>
        <v/>
      </c>
      <c r="L20" s="48" t="n"/>
      <c r="M20" s="50">
        <f>K20+L20+I20</f>
        <v/>
      </c>
      <c r="N20" s="46" t="n"/>
      <c r="O20" s="41" t="n"/>
      <c r="P20" s="47" t="n"/>
      <c r="Q20" s="46" t="n"/>
      <c r="R20" s="57" t="n"/>
      <c r="S20" s="41" t="n"/>
      <c r="T20" s="47" t="n"/>
    </row>
    <row r="21" ht="15" customHeight="1">
      <c r="A21" s="39">
        <f>IF(C21="","",ROW()-2)</f>
        <v/>
      </c>
      <c r="B21" s="222" t="inlineStr"/>
      <c r="C21" s="222" t="inlineStr">
        <is>
          <t>TOH MH Site</t>
        </is>
      </c>
      <c r="D21" s="40" t="inlineStr">
        <is>
          <t>Occupied</t>
        </is>
      </c>
      <c r="E21" s="319" t="n"/>
      <c r="F21" s="55" t="inlineStr">
        <is>
          <t>Individual tenants (names not provided in extraction) 19</t>
        </is>
      </c>
      <c r="G21" s="55" t="n"/>
      <c r="H21" s="50" t="n"/>
      <c r="I21" s="37" t="n">
        <v>966.38</v>
      </c>
      <c r="J21" s="273" t="n">
        <v>0</v>
      </c>
      <c r="K21" s="35">
        <f>IFERROR(I21+J21,0)</f>
        <v/>
      </c>
      <c r="L21" s="48" t="n"/>
      <c r="M21" s="50">
        <f>K21+L21+I21</f>
        <v/>
      </c>
      <c r="N21" s="46" t="n"/>
      <c r="O21" s="41" t="n"/>
      <c r="P21" s="47" t="n"/>
      <c r="Q21" s="46" t="n"/>
      <c r="R21" s="57" t="n"/>
      <c r="S21" s="41" t="n"/>
      <c r="T21" s="47" t="n"/>
    </row>
    <row r="22" ht="15" customHeight="1">
      <c r="A22" s="39">
        <f>IF(C22="","",ROW()-2)</f>
        <v/>
      </c>
      <c r="B22" s="222" t="inlineStr"/>
      <c r="C22" s="222" t="inlineStr">
        <is>
          <t>TOH MH Site</t>
        </is>
      </c>
      <c r="D22" s="40" t="inlineStr">
        <is>
          <t>Occupied</t>
        </is>
      </c>
      <c r="E22" s="319" t="n"/>
      <c r="F22" s="55" t="inlineStr">
        <is>
          <t>Individual tenants (names not provided in extraction) 20</t>
        </is>
      </c>
      <c r="G22" s="55" t="n"/>
      <c r="H22" s="50" t="n"/>
      <c r="I22" s="37" t="n">
        <v>966.38</v>
      </c>
      <c r="J22" s="273" t="n">
        <v>0</v>
      </c>
      <c r="K22" s="35">
        <f>IFERROR(I22+J22,0)</f>
        <v/>
      </c>
      <c r="L22" s="48" t="n"/>
      <c r="M22" s="50">
        <f>K22+L22+I22</f>
        <v/>
      </c>
      <c r="N22" s="46" t="n"/>
      <c r="O22" s="41" t="n"/>
      <c r="P22" s="47" t="n"/>
      <c r="Q22" s="46" t="n"/>
      <c r="R22" s="57" t="n"/>
      <c r="S22" s="41" t="n"/>
      <c r="T22" s="47" t="n"/>
    </row>
    <row r="23" ht="15" customHeight="1">
      <c r="A23" s="39">
        <f>IF(C23="","",ROW()-2)</f>
        <v/>
      </c>
      <c r="B23" s="222" t="inlineStr"/>
      <c r="C23" s="222" t="inlineStr">
        <is>
          <t>TOH MH Site</t>
        </is>
      </c>
      <c r="D23" s="40" t="inlineStr">
        <is>
          <t>Occupied</t>
        </is>
      </c>
      <c r="E23" s="319" t="n"/>
      <c r="F23" s="55" t="inlineStr">
        <is>
          <t>Individual tenants (names not provided in extraction) 21</t>
        </is>
      </c>
      <c r="G23" s="55" t="n"/>
      <c r="H23" s="50" t="n"/>
      <c r="I23" s="37" t="n">
        <v>966.38</v>
      </c>
      <c r="J23" s="273" t="n">
        <v>0</v>
      </c>
      <c r="K23" s="35">
        <f>IFERROR(I23+J23,0)</f>
        <v/>
      </c>
      <c r="L23" s="48" t="n"/>
      <c r="M23" s="50">
        <f>K23+L23+I23</f>
        <v/>
      </c>
      <c r="N23" s="46" t="n"/>
      <c r="O23" s="41" t="n"/>
      <c r="P23" s="47" t="n"/>
      <c r="Q23" s="46" t="n"/>
      <c r="R23" s="57" t="n"/>
      <c r="S23" s="41" t="n"/>
      <c r="T23" s="47" t="n"/>
    </row>
    <row r="24" ht="15" customHeight="1">
      <c r="A24" s="39">
        <f>IF(C24="","",ROW()-2)</f>
        <v/>
      </c>
      <c r="B24" s="222" t="inlineStr"/>
      <c r="C24" s="222" t="inlineStr">
        <is>
          <t>TOH MH Site</t>
        </is>
      </c>
      <c r="D24" s="40" t="inlineStr">
        <is>
          <t>Occupied</t>
        </is>
      </c>
      <c r="E24" s="319" t="n"/>
      <c r="F24" s="55" t="inlineStr">
        <is>
          <t>Individual tenants (names not provided in extraction) 22</t>
        </is>
      </c>
      <c r="G24" s="55" t="n"/>
      <c r="H24" s="50" t="n"/>
      <c r="I24" s="37" t="n">
        <v>966.38</v>
      </c>
      <c r="J24" s="273" t="n">
        <v>0</v>
      </c>
      <c r="K24" s="35">
        <f>IFERROR(I24+J24,0)</f>
        <v/>
      </c>
      <c r="L24" s="48" t="n"/>
      <c r="M24" s="50">
        <f>K24+L24+I24</f>
        <v/>
      </c>
      <c r="N24" s="46" t="n"/>
      <c r="O24" s="41" t="n"/>
      <c r="P24" s="47" t="n"/>
      <c r="Q24" s="46" t="n"/>
      <c r="R24" s="57" t="n"/>
      <c r="S24" s="41" t="n"/>
      <c r="T24" s="47" t="n"/>
    </row>
    <row r="25" ht="15" customHeight="1">
      <c r="A25" s="39">
        <f>IF(C25="","",ROW()-2)</f>
        <v/>
      </c>
      <c r="B25" s="222" t="inlineStr"/>
      <c r="C25" s="222" t="inlineStr">
        <is>
          <t>TOH MH Site</t>
        </is>
      </c>
      <c r="D25" s="40" t="inlineStr">
        <is>
          <t>Occupied</t>
        </is>
      </c>
      <c r="E25" s="319" t="n"/>
      <c r="F25" s="55" t="inlineStr">
        <is>
          <t>Individual tenants (names not provided in extraction) 23</t>
        </is>
      </c>
      <c r="G25" s="55" t="n"/>
      <c r="H25" s="50" t="n"/>
      <c r="I25" s="37" t="n">
        <v>966.38</v>
      </c>
      <c r="J25" s="273" t="n">
        <v>0</v>
      </c>
      <c r="K25" s="35">
        <f>IFERROR(I25+J25,0)</f>
        <v/>
      </c>
      <c r="L25" s="48" t="n"/>
      <c r="M25" s="50">
        <f>K25+L25+I25</f>
        <v/>
      </c>
      <c r="N25" s="46" t="n"/>
      <c r="O25" s="41" t="n"/>
      <c r="P25" s="47" t="n"/>
      <c r="Q25" s="46" t="n"/>
      <c r="R25" s="57" t="n"/>
      <c r="S25" s="41" t="n"/>
      <c r="T25" s="47" t="n"/>
    </row>
    <row r="26" ht="15" customHeight="1">
      <c r="A26" s="39">
        <f>IF(C26="","",ROW()-2)</f>
        <v/>
      </c>
      <c r="B26" s="222" t="inlineStr"/>
      <c r="C26" s="222" t="inlineStr">
        <is>
          <t>TOH MH Site</t>
        </is>
      </c>
      <c r="D26" s="40" t="inlineStr">
        <is>
          <t>Occupied</t>
        </is>
      </c>
      <c r="E26" s="319" t="n"/>
      <c r="F26" s="55" t="inlineStr">
        <is>
          <t>Individual tenants (names not provided in extraction) 24</t>
        </is>
      </c>
      <c r="G26" s="55" t="n"/>
      <c r="H26" s="50" t="n"/>
      <c r="I26" s="37" t="n">
        <v>966.38</v>
      </c>
      <c r="J26" s="273" t="n">
        <v>0</v>
      </c>
      <c r="K26" s="35">
        <f>IFERROR(I26+J26,0)</f>
        <v/>
      </c>
      <c r="L26" s="48" t="n"/>
      <c r="M26" s="50">
        <f>K26+L26+I26</f>
        <v/>
      </c>
      <c r="N26" s="46" t="n"/>
      <c r="O26" s="41" t="n"/>
      <c r="P26" s="47" t="n"/>
      <c r="Q26" s="46" t="n"/>
      <c r="R26" s="57" t="n"/>
      <c r="S26" s="41" t="n"/>
      <c r="T26" s="47" t="n"/>
    </row>
    <row r="27" ht="15" customHeight="1">
      <c r="A27" s="39">
        <f>IF(C27="","",ROW()-2)</f>
        <v/>
      </c>
      <c r="B27" s="222" t="inlineStr"/>
      <c r="C27" s="222" t="inlineStr">
        <is>
          <t>TOH MH Site</t>
        </is>
      </c>
      <c r="D27" s="40" t="inlineStr">
        <is>
          <t>Occupied</t>
        </is>
      </c>
      <c r="E27" s="319" t="n"/>
      <c r="F27" s="55" t="inlineStr">
        <is>
          <t>Individual tenants (names not provided in extraction) 25</t>
        </is>
      </c>
      <c r="G27" s="55" t="n"/>
      <c r="H27" s="50" t="n"/>
      <c r="I27" s="37" t="n">
        <v>966.38</v>
      </c>
      <c r="J27" s="273" t="n">
        <v>0</v>
      </c>
      <c r="K27" s="35">
        <f>IFERROR(I27+J27,0)</f>
        <v/>
      </c>
      <c r="L27" s="48" t="n"/>
      <c r="M27" s="50">
        <f>K27+L27+I27</f>
        <v/>
      </c>
      <c r="N27" s="46" t="n"/>
      <c r="O27" s="41" t="n"/>
      <c r="P27" s="47" t="n"/>
      <c r="Q27" s="46" t="n"/>
      <c r="R27" s="57" t="n"/>
      <c r="S27" s="41" t="n"/>
      <c r="T27" s="47" t="n"/>
    </row>
    <row r="28" ht="15" customHeight="1">
      <c r="A28" s="39">
        <f>IF(C28="","",ROW()-2)</f>
        <v/>
      </c>
      <c r="B28" s="222" t="inlineStr"/>
      <c r="C28" s="222" t="inlineStr">
        <is>
          <t>TOH MH Site</t>
        </is>
      </c>
      <c r="D28" s="40" t="inlineStr">
        <is>
          <t>Occupied</t>
        </is>
      </c>
      <c r="E28" s="319" t="n"/>
      <c r="F28" s="55" t="inlineStr">
        <is>
          <t>Individual tenants (names not provided in extraction) 26</t>
        </is>
      </c>
      <c r="G28" s="55" t="n"/>
      <c r="H28" s="50" t="n"/>
      <c r="I28" s="37" t="n">
        <v>966.38</v>
      </c>
      <c r="J28" s="273" t="n">
        <v>0</v>
      </c>
      <c r="K28" s="35">
        <f>IFERROR(I28+J28,0)</f>
        <v/>
      </c>
      <c r="L28" s="48" t="n"/>
      <c r="M28" s="50">
        <f>K28+L28+I28</f>
        <v/>
      </c>
      <c r="N28" s="46" t="n"/>
      <c r="O28" s="41" t="n"/>
      <c r="P28" s="47" t="n"/>
      <c r="Q28" s="46" t="n"/>
      <c r="R28" s="57" t="n"/>
      <c r="S28" s="41" t="n"/>
      <c r="T28" s="47" t="n"/>
    </row>
    <row r="29" ht="15" customHeight="1">
      <c r="A29" s="39">
        <f>IF(C29="","",ROW()-2)</f>
        <v/>
      </c>
      <c r="B29" s="222" t="inlineStr"/>
      <c r="C29" s="222" t="inlineStr">
        <is>
          <t>TOH MH Site</t>
        </is>
      </c>
      <c r="D29" s="40" t="inlineStr">
        <is>
          <t>Occupied</t>
        </is>
      </c>
      <c r="E29" s="319" t="n"/>
      <c r="F29" s="55" t="inlineStr">
        <is>
          <t>Individual tenants (names not provided in extraction) 27</t>
        </is>
      </c>
      <c r="G29" s="55" t="n"/>
      <c r="H29" s="50" t="n"/>
      <c r="I29" s="37" t="n">
        <v>966.38</v>
      </c>
      <c r="J29" s="273" t="n">
        <v>0</v>
      </c>
      <c r="K29" s="35">
        <f>IFERROR(I29+J29,0)</f>
        <v/>
      </c>
      <c r="L29" s="48" t="n"/>
      <c r="M29" s="50">
        <f>K29+L29+I29</f>
        <v/>
      </c>
      <c r="N29" s="46" t="n"/>
      <c r="O29" s="41" t="n"/>
      <c r="P29" s="47" t="n"/>
      <c r="Q29" s="46" t="n"/>
      <c r="R29" s="57" t="n"/>
      <c r="S29" s="41" t="n"/>
      <c r="T29" s="47" t="n"/>
    </row>
    <row r="30" ht="15" customHeight="1">
      <c r="A30" s="39">
        <f>IF(C30="","",ROW()-2)</f>
        <v/>
      </c>
      <c r="B30" s="222" t="inlineStr"/>
      <c r="C30" s="222" t="inlineStr">
        <is>
          <t>TOH MH Site</t>
        </is>
      </c>
      <c r="D30" s="40" t="inlineStr">
        <is>
          <t>Occupied</t>
        </is>
      </c>
      <c r="E30" s="319" t="n"/>
      <c r="F30" s="55" t="inlineStr">
        <is>
          <t>Individual tenants (names not provided in extraction) 28</t>
        </is>
      </c>
      <c r="G30" s="55" t="n"/>
      <c r="H30" s="50" t="n"/>
      <c r="I30" s="37" t="n">
        <v>966.38</v>
      </c>
      <c r="J30" s="273" t="n">
        <v>0</v>
      </c>
      <c r="K30" s="35">
        <f>IFERROR(I30+J30,0)</f>
        <v/>
      </c>
      <c r="L30" s="48" t="n"/>
      <c r="M30" s="50">
        <f>K30+L30+I30</f>
        <v/>
      </c>
      <c r="N30" s="46" t="n"/>
      <c r="O30" s="41" t="n"/>
      <c r="P30" s="47" t="n"/>
      <c r="Q30" s="46" t="n"/>
      <c r="R30" s="57" t="n"/>
      <c r="S30" s="41" t="n"/>
      <c r="T30" s="47" t="n"/>
    </row>
    <row r="31" ht="15" customHeight="1">
      <c r="A31" s="39">
        <f>IF(C31="","",ROW()-2)</f>
        <v/>
      </c>
      <c r="B31" s="222" t="inlineStr"/>
      <c r="C31" s="222" t="inlineStr">
        <is>
          <t>TOH MH Site</t>
        </is>
      </c>
      <c r="D31" s="40" t="inlineStr">
        <is>
          <t>Occupied</t>
        </is>
      </c>
      <c r="E31" s="319" t="n"/>
      <c r="F31" s="55" t="inlineStr">
        <is>
          <t>Individual tenants (names not provided in extraction) 29</t>
        </is>
      </c>
      <c r="G31" s="55" t="n"/>
      <c r="H31" s="50" t="n"/>
      <c r="I31" s="37" t="n">
        <v>966.38</v>
      </c>
      <c r="J31" s="273" t="n">
        <v>0</v>
      </c>
      <c r="K31" s="35">
        <f>IFERROR(I31+J31,0)</f>
        <v/>
      </c>
      <c r="L31" s="48" t="n"/>
      <c r="M31" s="50">
        <f>K31+L31+I31</f>
        <v/>
      </c>
      <c r="N31" s="46" t="n"/>
      <c r="O31" s="41" t="n"/>
      <c r="P31" s="47" t="n"/>
      <c r="Q31" s="46" t="n"/>
      <c r="R31" s="57" t="n"/>
      <c r="S31" s="41" t="n"/>
      <c r="T31" s="47" t="n"/>
    </row>
    <row r="32" ht="15" customHeight="1">
      <c r="A32" s="39">
        <f>IF(C32="","",ROW()-2)</f>
        <v/>
      </c>
      <c r="B32" s="222" t="inlineStr"/>
      <c r="C32" s="222" t="inlineStr">
        <is>
          <t>TOH MH Site</t>
        </is>
      </c>
      <c r="D32" s="40" t="inlineStr">
        <is>
          <t>Occupied</t>
        </is>
      </c>
      <c r="E32" s="319" t="n"/>
      <c r="F32" s="55" t="inlineStr">
        <is>
          <t>Individual tenants (names not provided in extraction) 30</t>
        </is>
      </c>
      <c r="G32" s="55" t="n"/>
      <c r="H32" s="50" t="n"/>
      <c r="I32" s="37" t="n">
        <v>966.38</v>
      </c>
      <c r="J32" s="273" t="n">
        <v>0</v>
      </c>
      <c r="K32" s="35">
        <f>IFERROR(I32+J32,0)</f>
        <v/>
      </c>
      <c r="L32" s="48" t="n"/>
      <c r="M32" s="50">
        <f>K32+L32+I32</f>
        <v/>
      </c>
      <c r="N32" s="46" t="n"/>
      <c r="O32" s="41" t="n"/>
      <c r="P32" s="47" t="n"/>
      <c r="Q32" s="46" t="n"/>
      <c r="R32" s="57" t="n"/>
      <c r="S32" s="41" t="n"/>
      <c r="T32" s="47" t="n"/>
    </row>
    <row r="33" ht="15" customHeight="1">
      <c r="A33" s="39">
        <f>IF(C33="","",ROW()-2)</f>
        <v/>
      </c>
      <c r="B33" s="222" t="inlineStr"/>
      <c r="C33" s="222" t="inlineStr">
        <is>
          <t>TOH MH Site</t>
        </is>
      </c>
      <c r="D33" s="40" t="inlineStr">
        <is>
          <t>Occupied</t>
        </is>
      </c>
      <c r="E33" s="319" t="n"/>
      <c r="F33" s="55" t="inlineStr">
        <is>
          <t>Individual tenants (names not provided in extraction) 31</t>
        </is>
      </c>
      <c r="G33" s="55" t="n"/>
      <c r="H33" s="50" t="n"/>
      <c r="I33" s="37" t="n">
        <v>966.38</v>
      </c>
      <c r="J33" s="273" t="n">
        <v>0</v>
      </c>
      <c r="K33" s="35">
        <f>IFERROR(I33+J33,0)</f>
        <v/>
      </c>
      <c r="L33" s="48" t="n"/>
      <c r="M33" s="50">
        <f>K33+L33+I33</f>
        <v/>
      </c>
      <c r="N33" s="46" t="n"/>
      <c r="O33" s="41" t="n"/>
      <c r="P33" s="47" t="n"/>
      <c r="Q33" s="46" t="n"/>
      <c r="R33" s="57" t="n"/>
      <c r="S33" s="41" t="n"/>
      <c r="T33" s="47" t="n"/>
    </row>
    <row r="34" ht="15" customHeight="1">
      <c r="A34" s="39">
        <f>IF(C34="","",ROW()-2)</f>
        <v/>
      </c>
      <c r="B34" s="222" t="inlineStr"/>
      <c r="C34" s="222" t="inlineStr">
        <is>
          <t>TOH MH Site</t>
        </is>
      </c>
      <c r="D34" s="40" t="inlineStr">
        <is>
          <t>Occupied</t>
        </is>
      </c>
      <c r="E34" s="319" t="n"/>
      <c r="F34" s="55" t="inlineStr">
        <is>
          <t>Individual tenants (names not provided in extraction) 32</t>
        </is>
      </c>
      <c r="G34" s="55" t="n"/>
      <c r="H34" s="50" t="n"/>
      <c r="I34" s="37" t="n">
        <v>966.38</v>
      </c>
      <c r="J34" s="273" t="n">
        <v>0</v>
      </c>
      <c r="K34" s="35">
        <f>IFERROR(I34+J34,0)</f>
        <v/>
      </c>
      <c r="L34" s="48" t="n"/>
      <c r="M34" s="50">
        <f>K34+L34+I34</f>
        <v/>
      </c>
      <c r="N34" s="46" t="n"/>
      <c r="O34" s="41" t="n"/>
      <c r="P34" s="47" t="n"/>
      <c r="Q34" s="46" t="n"/>
      <c r="R34" s="57" t="n"/>
      <c r="S34" s="41" t="n"/>
      <c r="T34" s="47" t="n"/>
    </row>
    <row r="35" ht="15" customHeight="1">
      <c r="A35" s="39">
        <f>IF(C35="","",ROW()-2)</f>
        <v/>
      </c>
      <c r="B35" s="222" t="inlineStr"/>
      <c r="C35" s="222" t="inlineStr">
        <is>
          <t>TOH MH Site</t>
        </is>
      </c>
      <c r="D35" s="40" t="inlineStr">
        <is>
          <t>Occupied</t>
        </is>
      </c>
      <c r="E35" s="319" t="n"/>
      <c r="F35" s="55" t="inlineStr">
        <is>
          <t>Individual tenants (names not provided in extraction) 33</t>
        </is>
      </c>
      <c r="G35" s="55" t="n"/>
      <c r="H35" s="50" t="n"/>
      <c r="I35" s="37" t="n">
        <v>966.38</v>
      </c>
      <c r="J35" s="273" t="n">
        <v>0</v>
      </c>
      <c r="K35" s="35">
        <f>IFERROR(I35+J35,0)</f>
        <v/>
      </c>
      <c r="L35" s="48" t="n"/>
      <c r="M35" s="50">
        <f>K35+L35+I35</f>
        <v/>
      </c>
      <c r="N35" s="46" t="n"/>
      <c r="O35" s="41" t="n"/>
      <c r="P35" s="47" t="n"/>
      <c r="Q35" s="46" t="n"/>
      <c r="R35" s="57" t="n"/>
      <c r="S35" s="41" t="n"/>
      <c r="T35" s="47" t="n"/>
    </row>
    <row r="36" ht="15" customHeight="1">
      <c r="A36" s="39">
        <f>IF(C36="","",ROW()-2)</f>
        <v/>
      </c>
      <c r="B36" s="222" t="inlineStr"/>
      <c r="C36" s="222" t="inlineStr">
        <is>
          <t>TOH MH Site</t>
        </is>
      </c>
      <c r="D36" s="40" t="inlineStr">
        <is>
          <t>Occupied</t>
        </is>
      </c>
      <c r="E36" s="319" t="n"/>
      <c r="F36" s="55" t="inlineStr">
        <is>
          <t>Individual tenants (names not provided in extraction) 34</t>
        </is>
      </c>
      <c r="G36" s="55" t="n"/>
      <c r="H36" s="50" t="n"/>
      <c r="I36" s="37" t="n">
        <v>966.38</v>
      </c>
      <c r="J36" s="273" t="n">
        <v>0</v>
      </c>
      <c r="K36" s="35">
        <f>IFERROR(I36+J36,0)</f>
        <v/>
      </c>
      <c r="L36" s="48" t="n"/>
      <c r="M36" s="50">
        <f>K36+L36+I36</f>
        <v/>
      </c>
      <c r="N36" s="46" t="n"/>
      <c r="O36" s="41" t="n"/>
      <c r="P36" s="47" t="n"/>
      <c r="Q36" s="46" t="n"/>
      <c r="R36" s="57" t="n"/>
      <c r="S36" s="41" t="n"/>
      <c r="T36" s="47" t="n"/>
    </row>
    <row r="37" ht="15" customHeight="1">
      <c r="A37" s="39">
        <f>IF(C37="","",ROW()-2)</f>
        <v/>
      </c>
      <c r="B37" s="222" t="inlineStr"/>
      <c r="C37" s="222" t="inlineStr">
        <is>
          <t>TOH MH Site</t>
        </is>
      </c>
      <c r="D37" s="40" t="inlineStr">
        <is>
          <t>Occupied</t>
        </is>
      </c>
      <c r="E37" s="319" t="n"/>
      <c r="F37" s="55" t="inlineStr">
        <is>
          <t>Individual tenants (names not provided in extraction) 35</t>
        </is>
      </c>
      <c r="G37" s="55" t="n"/>
      <c r="H37" s="50" t="n"/>
      <c r="I37" s="37" t="n">
        <v>966.38</v>
      </c>
      <c r="J37" s="273" t="n">
        <v>0</v>
      </c>
      <c r="K37" s="35">
        <f>IFERROR(I37+J37,0)</f>
        <v/>
      </c>
      <c r="L37" s="48" t="n"/>
      <c r="M37" s="50">
        <f>K37+L37+I37</f>
        <v/>
      </c>
      <c r="N37" s="46" t="n"/>
      <c r="O37" s="41" t="n"/>
      <c r="P37" s="47" t="n"/>
      <c r="Q37" s="46" t="n"/>
      <c r="R37" s="57" t="n"/>
      <c r="S37" s="41" t="n"/>
      <c r="T37" s="47" t="n"/>
    </row>
    <row r="38" ht="15" customHeight="1">
      <c r="A38" s="39">
        <f>IF(C38="","",ROW()-2)</f>
        <v/>
      </c>
      <c r="B38" s="222" t="inlineStr"/>
      <c r="C38" s="222" t="inlineStr">
        <is>
          <t>TOH MH Site</t>
        </is>
      </c>
      <c r="D38" s="40" t="inlineStr">
        <is>
          <t>Occupied</t>
        </is>
      </c>
      <c r="E38" s="319" t="n"/>
      <c r="F38" s="55" t="inlineStr">
        <is>
          <t>Individual tenants (names not provided in extraction) 36</t>
        </is>
      </c>
      <c r="G38" s="55" t="n"/>
      <c r="H38" s="50" t="n"/>
      <c r="I38" s="37" t="n">
        <v>966.38</v>
      </c>
      <c r="J38" s="273" t="n">
        <v>0</v>
      </c>
      <c r="K38" s="35">
        <f>IFERROR(I38+J38,0)</f>
        <v/>
      </c>
      <c r="L38" s="48" t="n"/>
      <c r="M38" s="50">
        <f>K38+L38+I38</f>
        <v/>
      </c>
      <c r="N38" s="46" t="n"/>
      <c r="O38" s="41" t="n"/>
      <c r="P38" s="47" t="n"/>
      <c r="Q38" s="46" t="n"/>
      <c r="R38" s="57" t="n"/>
      <c r="S38" s="41" t="n"/>
      <c r="T38" s="47" t="n"/>
    </row>
    <row r="39" ht="15" customHeight="1">
      <c r="A39" s="39">
        <f>IF(C39="","",ROW()-2)</f>
        <v/>
      </c>
      <c r="B39" s="222" t="inlineStr"/>
      <c r="C39" s="222" t="inlineStr">
        <is>
          <t>TOH MH Site</t>
        </is>
      </c>
      <c r="D39" s="40" t="inlineStr">
        <is>
          <t>Occupied</t>
        </is>
      </c>
      <c r="E39" s="319" t="n"/>
      <c r="F39" s="55" t="inlineStr">
        <is>
          <t>Individual tenants (names not provided in extraction) 37</t>
        </is>
      </c>
      <c r="G39" s="55" t="n"/>
      <c r="H39" s="50" t="n"/>
      <c r="I39" s="37" t="n">
        <v>966.38</v>
      </c>
      <c r="J39" s="273" t="n">
        <v>0</v>
      </c>
      <c r="K39" s="35">
        <f>IFERROR(I39+J39,0)</f>
        <v/>
      </c>
      <c r="L39" s="48" t="n"/>
      <c r="M39" s="50">
        <f>K39+L39+I39</f>
        <v/>
      </c>
      <c r="N39" s="46" t="n"/>
      <c r="O39" s="41" t="n"/>
      <c r="P39" s="47" t="n"/>
      <c r="Q39" s="46" t="n"/>
      <c r="R39" s="57" t="n"/>
      <c r="S39" s="41" t="n"/>
      <c r="T39" s="47" t="n"/>
    </row>
    <row r="40" ht="15" customHeight="1">
      <c r="A40" s="39">
        <f>IF(C40="","",ROW()-2)</f>
        <v/>
      </c>
      <c r="B40" s="222" t="inlineStr"/>
      <c r="C40" s="222" t="inlineStr">
        <is>
          <t>TOH MH Site</t>
        </is>
      </c>
      <c r="D40" s="40" t="inlineStr">
        <is>
          <t>Occupied</t>
        </is>
      </c>
      <c r="E40" s="319" t="n"/>
      <c r="F40" s="55" t="inlineStr">
        <is>
          <t>Individual tenants (names not provided in extraction) 38</t>
        </is>
      </c>
      <c r="G40" s="55" t="n"/>
      <c r="H40" s="50" t="n"/>
      <c r="I40" s="37" t="n">
        <v>966.38</v>
      </c>
      <c r="J40" s="273" t="n">
        <v>0</v>
      </c>
      <c r="K40" s="35">
        <f>IFERROR(I40+J40,0)</f>
        <v/>
      </c>
      <c r="L40" s="48" t="n"/>
      <c r="M40" s="50">
        <f>K40+L40+I40</f>
        <v/>
      </c>
      <c r="N40" s="46" t="n"/>
      <c r="O40" s="41" t="n"/>
      <c r="P40" s="47" t="n"/>
      <c r="Q40" s="46" t="n"/>
      <c r="R40" s="57" t="n"/>
      <c r="S40" s="41" t="n"/>
      <c r="T40" s="47" t="n"/>
    </row>
    <row r="41" ht="15" customHeight="1">
      <c r="A41" s="39">
        <f>IF(C41="","",ROW()-2)</f>
        <v/>
      </c>
      <c r="B41" s="222" t="inlineStr"/>
      <c r="C41" s="222" t="inlineStr">
        <is>
          <t>TOH MH Site</t>
        </is>
      </c>
      <c r="D41" s="40" t="inlineStr">
        <is>
          <t>Occupied</t>
        </is>
      </c>
      <c r="E41" s="319" t="n"/>
      <c r="F41" s="55" t="inlineStr">
        <is>
          <t>Individual tenants (names not provided in extraction) 39</t>
        </is>
      </c>
      <c r="G41" s="55" t="n"/>
      <c r="H41" s="50" t="n"/>
      <c r="I41" s="37" t="n">
        <v>966.38</v>
      </c>
      <c r="J41" s="273" t="n">
        <v>0</v>
      </c>
      <c r="K41" s="35">
        <f>IFERROR(I41+J41,0)</f>
        <v/>
      </c>
      <c r="L41" s="48" t="n"/>
      <c r="M41" s="50">
        <f>K41+L41+I41</f>
        <v/>
      </c>
      <c r="N41" s="46" t="n"/>
      <c r="O41" s="41" t="n"/>
      <c r="P41" s="47" t="n"/>
      <c r="Q41" s="46" t="n"/>
      <c r="R41" s="57" t="n"/>
      <c r="S41" s="41" t="n"/>
      <c r="T41" s="47" t="n"/>
    </row>
    <row r="42" ht="15" customHeight="1">
      <c r="A42" s="39">
        <f>IF(C42="","",ROW()-2)</f>
        <v/>
      </c>
      <c r="B42" s="222" t="inlineStr"/>
      <c r="C42" s="222" t="inlineStr">
        <is>
          <t>TOH MH Site</t>
        </is>
      </c>
      <c r="D42" s="40" t="inlineStr">
        <is>
          <t>Occupied</t>
        </is>
      </c>
      <c r="E42" s="319" t="n"/>
      <c r="F42" s="55" t="inlineStr">
        <is>
          <t>Individual tenants (names not provided in extraction) 40</t>
        </is>
      </c>
      <c r="G42" s="55" t="n"/>
      <c r="H42" s="50" t="n"/>
      <c r="I42" s="37" t="n">
        <v>966.38</v>
      </c>
      <c r="J42" s="273" t="n">
        <v>0</v>
      </c>
      <c r="K42" s="35">
        <f>IFERROR(I42+J42,0)</f>
        <v/>
      </c>
      <c r="L42" s="48" t="n"/>
      <c r="M42" s="50">
        <f>K42+L42+I42</f>
        <v/>
      </c>
      <c r="N42" s="46" t="n"/>
      <c r="O42" s="41" t="n"/>
      <c r="P42" s="47" t="n"/>
      <c r="Q42" s="46" t="n"/>
      <c r="R42" s="57" t="n"/>
      <c r="S42" s="41" t="n"/>
      <c r="T42" s="47" t="n"/>
    </row>
    <row r="43" ht="15" customHeight="1">
      <c r="A43" s="39">
        <f>IF(C43="","",ROW()-2)</f>
        <v/>
      </c>
      <c r="B43" s="222" t="inlineStr"/>
      <c r="C43" s="222" t="inlineStr">
        <is>
          <t>TOH MH Site</t>
        </is>
      </c>
      <c r="D43" s="40" t="inlineStr">
        <is>
          <t>Occupied</t>
        </is>
      </c>
      <c r="E43" s="319" t="n"/>
      <c r="F43" s="55" t="inlineStr">
        <is>
          <t>Individual tenants (names not provided in extraction) 41</t>
        </is>
      </c>
      <c r="G43" s="55" t="n"/>
      <c r="H43" s="50" t="n"/>
      <c r="I43" s="37" t="n">
        <v>966.38</v>
      </c>
      <c r="J43" s="273" t="n">
        <v>0</v>
      </c>
      <c r="K43" s="35">
        <f>IFERROR(I43+J43,0)</f>
        <v/>
      </c>
      <c r="L43" s="48" t="n"/>
      <c r="M43" s="50">
        <f>K43+L43+I43</f>
        <v/>
      </c>
      <c r="N43" s="46" t="n"/>
      <c r="O43" s="41" t="n"/>
      <c r="P43" s="47" t="n"/>
      <c r="Q43" s="46" t="n"/>
      <c r="R43" s="57" t="n"/>
      <c r="S43" s="41" t="n"/>
      <c r="T43" s="47" t="n"/>
    </row>
    <row r="44" ht="15" customHeight="1">
      <c r="A44" s="39">
        <f>IF(C44="","",ROW()-2)</f>
        <v/>
      </c>
      <c r="B44" s="222" t="inlineStr"/>
      <c r="C44" s="222" t="inlineStr">
        <is>
          <t>TOH MH Site</t>
        </is>
      </c>
      <c r="D44" s="40" t="inlineStr">
        <is>
          <t>Occupied</t>
        </is>
      </c>
      <c r="E44" s="319" t="n"/>
      <c r="F44" s="55" t="inlineStr">
        <is>
          <t>Individual tenants (names not provided in extraction) 42</t>
        </is>
      </c>
      <c r="G44" s="55" t="n"/>
      <c r="H44" s="50" t="n"/>
      <c r="I44" s="37" t="n">
        <v>966.38</v>
      </c>
      <c r="J44" s="273" t="n">
        <v>0</v>
      </c>
      <c r="K44" s="35">
        <f>IFERROR(I44+J44,0)</f>
        <v/>
      </c>
      <c r="L44" s="48" t="n"/>
      <c r="M44" s="50">
        <f>K44+L44+I44</f>
        <v/>
      </c>
      <c r="N44" s="46" t="n"/>
      <c r="O44" s="41" t="n"/>
      <c r="P44" s="47" t="n"/>
      <c r="Q44" s="46" t="n"/>
      <c r="R44" s="57" t="n"/>
      <c r="S44" s="41" t="n"/>
      <c r="T44" s="47" t="n"/>
    </row>
    <row r="45" ht="15" customHeight="1">
      <c r="A45" s="39">
        <f>IF(C45="","",ROW()-2)</f>
        <v/>
      </c>
      <c r="B45" s="222" t="inlineStr"/>
      <c r="C45" s="222" t="inlineStr">
        <is>
          <t>TOH MH Site</t>
        </is>
      </c>
      <c r="D45" s="734" t="inlineStr">
        <is>
          <t>Occupied</t>
        </is>
      </c>
      <c r="E45" s="319" t="n"/>
      <c r="F45" s="55" t="inlineStr">
        <is>
          <t>Individual tenants (names not provided in extraction) 43</t>
        </is>
      </c>
      <c r="G45" s="55" t="n"/>
      <c r="H45" s="50" t="n"/>
      <c r="I45" s="37" t="n">
        <v>966.38</v>
      </c>
      <c r="J45" s="273" t="n">
        <v>0</v>
      </c>
      <c r="K45" s="35">
        <f>IFERROR(I45+J45,0)</f>
        <v/>
      </c>
      <c r="L45" s="48" t="n"/>
      <c r="M45" s="50">
        <f>K45+L45+I45</f>
        <v/>
      </c>
      <c r="N45" s="46" t="n"/>
      <c r="O45" s="41" t="n"/>
      <c r="P45" s="47" t="n"/>
      <c r="Q45" s="46" t="n"/>
      <c r="R45" s="57" t="n"/>
      <c r="S45" s="41" t="n"/>
      <c r="T45" s="47" t="n"/>
    </row>
    <row r="46" ht="15" customHeight="1">
      <c r="A46" s="39">
        <f>IF(C46="","",ROW()-2)</f>
        <v/>
      </c>
      <c r="B46" s="222" t="inlineStr"/>
      <c r="C46" s="222" t="inlineStr">
        <is>
          <t>TOH MH Site</t>
        </is>
      </c>
      <c r="D46" s="40" t="inlineStr">
        <is>
          <t>Occupied</t>
        </is>
      </c>
      <c r="E46" s="319" t="n"/>
      <c r="F46" s="55" t="inlineStr">
        <is>
          <t>Individual tenants (names not provided in extraction) 44</t>
        </is>
      </c>
      <c r="G46" s="55" t="n"/>
      <c r="H46" s="50" t="n"/>
      <c r="I46" s="37" t="n">
        <v>966.38</v>
      </c>
      <c r="J46" s="273" t="n">
        <v>0</v>
      </c>
      <c r="K46" s="35">
        <f>IFERROR(I46+J46,0)</f>
        <v/>
      </c>
      <c r="L46" s="48" t="n"/>
      <c r="M46" s="50">
        <f>K46+L46+I46</f>
        <v/>
      </c>
      <c r="N46" s="46" t="n"/>
      <c r="O46" s="41" t="n"/>
      <c r="P46" s="47" t="n"/>
      <c r="Q46" s="46" t="n"/>
      <c r="R46" s="57" t="n"/>
      <c r="S46" s="41" t="n"/>
      <c r="T46" s="47" t="n"/>
    </row>
    <row r="47" ht="15" customHeight="1">
      <c r="A47" s="39">
        <f>IF(C47="","",ROW()-2)</f>
        <v/>
      </c>
      <c r="B47" s="222" t="inlineStr"/>
      <c r="C47" s="222" t="inlineStr">
        <is>
          <t>TOH MH Site</t>
        </is>
      </c>
      <c r="D47" s="40" t="inlineStr">
        <is>
          <t>Occupied</t>
        </is>
      </c>
      <c r="E47" s="319" t="n"/>
      <c r="F47" s="55" t="inlineStr">
        <is>
          <t>Individual tenants (names not provided in extraction) 45</t>
        </is>
      </c>
      <c r="G47" s="55" t="n"/>
      <c r="H47" s="50" t="n"/>
      <c r="I47" s="37" t="n">
        <v>966.38</v>
      </c>
      <c r="J47" s="273" t="n">
        <v>0</v>
      </c>
      <c r="K47" s="35">
        <f>IFERROR(I47+J47,0)</f>
        <v/>
      </c>
      <c r="L47" s="48" t="n"/>
      <c r="M47" s="50">
        <f>K47+L47+I47</f>
        <v/>
      </c>
      <c r="N47" s="46" t="n"/>
      <c r="O47" s="41" t="n"/>
      <c r="P47" s="47" t="n"/>
      <c r="Q47" s="46" t="n"/>
      <c r="R47" s="57" t="n"/>
      <c r="S47" s="41" t="n"/>
      <c r="T47" s="47" t="n"/>
    </row>
    <row r="48" ht="15" customHeight="1">
      <c r="A48" s="39">
        <f>IF(C48="","",ROW()-2)</f>
        <v/>
      </c>
      <c r="B48" s="222" t="inlineStr"/>
      <c r="C48" s="222" t="inlineStr">
        <is>
          <t>TOH MH Site</t>
        </is>
      </c>
      <c r="D48" s="40" t="inlineStr">
        <is>
          <t>Occupied</t>
        </is>
      </c>
      <c r="E48" s="319" t="n"/>
      <c r="F48" s="55" t="inlineStr">
        <is>
          <t>Individual tenants (names not provided in extraction) 46</t>
        </is>
      </c>
      <c r="G48" s="55" t="n"/>
      <c r="H48" s="50" t="n"/>
      <c r="I48" s="37" t="n">
        <v>966.38</v>
      </c>
      <c r="J48" s="273" t="n">
        <v>0</v>
      </c>
      <c r="K48" s="35">
        <f>IFERROR(I48+J48,0)</f>
        <v/>
      </c>
      <c r="L48" s="48" t="n"/>
      <c r="M48" s="50">
        <f>K48+L48+I48</f>
        <v/>
      </c>
      <c r="N48" s="46" t="n"/>
      <c r="O48" s="41" t="n"/>
      <c r="P48" s="47" t="n"/>
      <c r="Q48" s="46" t="n"/>
      <c r="R48" s="57" t="n"/>
      <c r="S48" s="41" t="n"/>
      <c r="T48" s="47" t="n"/>
    </row>
    <row r="49" ht="15" customHeight="1">
      <c r="A49" s="39">
        <f>IF(C49="","",ROW()-2)</f>
        <v/>
      </c>
      <c r="B49" s="222" t="inlineStr"/>
      <c r="C49" s="222" t="inlineStr">
        <is>
          <t>TOH MH Site</t>
        </is>
      </c>
      <c r="D49" s="40" t="inlineStr">
        <is>
          <t>Occupied</t>
        </is>
      </c>
      <c r="E49" s="319" t="n"/>
      <c r="F49" s="55" t="inlineStr">
        <is>
          <t>Individual tenants (names not provided in extraction) 47</t>
        </is>
      </c>
      <c r="G49" s="55" t="n"/>
      <c r="H49" s="50" t="n"/>
      <c r="I49" s="37" t="n">
        <v>966.38</v>
      </c>
      <c r="J49" s="273" t="n">
        <v>0</v>
      </c>
      <c r="K49" s="35">
        <f>IFERROR(I49+J49,0)</f>
        <v/>
      </c>
      <c r="L49" s="48" t="n"/>
      <c r="M49" s="50">
        <f>K49+L49+I49</f>
        <v/>
      </c>
      <c r="N49" s="46" t="n"/>
      <c r="O49" s="41" t="n"/>
      <c r="P49" s="47" t="n"/>
      <c r="Q49" s="46" t="n"/>
      <c r="R49" s="57" t="n"/>
      <c r="S49" s="41" t="n"/>
      <c r="T49" s="47" t="n"/>
    </row>
    <row r="50" ht="15" customHeight="1">
      <c r="A50" s="39">
        <f>IF(C50="","",ROW()-2)</f>
        <v/>
      </c>
      <c r="B50" s="222" t="inlineStr"/>
      <c r="C50" s="222" t="inlineStr">
        <is>
          <t>TOH MH Site</t>
        </is>
      </c>
      <c r="D50" s="40" t="inlineStr">
        <is>
          <t>Occupied</t>
        </is>
      </c>
      <c r="E50" s="319" t="n"/>
      <c r="F50" s="55" t="inlineStr">
        <is>
          <t>Individual tenants (names not provided in extraction) 48</t>
        </is>
      </c>
      <c r="G50" s="55" t="n"/>
      <c r="H50" s="50" t="n"/>
      <c r="I50" s="37" t="n">
        <v>966.38</v>
      </c>
      <c r="J50" s="273" t="n">
        <v>0</v>
      </c>
      <c r="K50" s="35">
        <f>IFERROR(I50+J50,0)</f>
        <v/>
      </c>
      <c r="L50" s="48" t="n"/>
      <c r="M50" s="50">
        <f>K50+L50+I50</f>
        <v/>
      </c>
      <c r="N50" s="46" t="n"/>
      <c r="O50" s="41" t="n"/>
      <c r="P50" s="47" t="n"/>
      <c r="Q50" s="46" t="n"/>
      <c r="R50" s="57" t="n"/>
      <c r="S50" s="41" t="n"/>
      <c r="T50" s="47" t="n"/>
    </row>
    <row r="51" ht="15" customHeight="1">
      <c r="A51" s="39">
        <f>IF(C51="","",ROW()-2)</f>
        <v/>
      </c>
      <c r="B51" s="222" t="inlineStr"/>
      <c r="C51" s="222" t="inlineStr">
        <is>
          <t>TOH MH Site</t>
        </is>
      </c>
      <c r="D51" s="40" t="inlineStr">
        <is>
          <t>Occupied</t>
        </is>
      </c>
      <c r="E51" s="319" t="n"/>
      <c r="F51" s="55" t="inlineStr">
        <is>
          <t>Individual tenants (names not provided in extraction) 49</t>
        </is>
      </c>
      <c r="G51" s="55" t="n"/>
      <c r="H51" s="50" t="n"/>
      <c r="I51" s="37" t="n">
        <v>966.38</v>
      </c>
      <c r="J51" s="273" t="n">
        <v>0</v>
      </c>
      <c r="K51" s="35">
        <f>IFERROR(I51+J51,0)</f>
        <v/>
      </c>
      <c r="L51" s="48" t="n"/>
      <c r="M51" s="50">
        <f>K51+L51+I51</f>
        <v/>
      </c>
      <c r="N51" s="46" t="n"/>
      <c r="O51" s="41" t="n"/>
      <c r="P51" s="47" t="n"/>
      <c r="Q51" s="46" t="n"/>
      <c r="R51" s="57" t="n"/>
      <c r="S51" s="41" t="n"/>
      <c r="T51" s="47" t="n"/>
    </row>
    <row r="52" ht="15" customHeight="1">
      <c r="A52" s="39">
        <f>IF(C52="","",ROW()-2)</f>
        <v/>
      </c>
      <c r="B52" s="222" t="inlineStr"/>
      <c r="C52" s="222" t="inlineStr">
        <is>
          <t>TOH MH Site</t>
        </is>
      </c>
      <c r="D52" s="40" t="inlineStr">
        <is>
          <t>Occupied</t>
        </is>
      </c>
      <c r="E52" s="319" t="n"/>
      <c r="F52" s="55" t="inlineStr">
        <is>
          <t>Individual tenants (names not provided in extraction) 50</t>
        </is>
      </c>
      <c r="G52" s="55" t="n"/>
      <c r="H52" s="50" t="n"/>
      <c r="I52" s="37" t="n">
        <v>966.38</v>
      </c>
      <c r="J52" s="273" t="n">
        <v>0</v>
      </c>
      <c r="K52" s="35">
        <f>IFERROR(I52+J52,0)</f>
        <v/>
      </c>
      <c r="L52" s="48" t="n"/>
      <c r="M52" s="50">
        <f>K52+L52+I52</f>
        <v/>
      </c>
      <c r="N52" s="46" t="n"/>
      <c r="O52" s="41" t="n"/>
      <c r="P52" s="47" t="n"/>
      <c r="Q52" s="46" t="n"/>
      <c r="R52" s="57" t="n"/>
      <c r="S52" s="41" t="n"/>
      <c r="T52" s="47" t="n"/>
    </row>
    <row r="53" ht="15" customHeight="1">
      <c r="A53" s="39">
        <f>IF(C53="","",ROW()-2)</f>
        <v/>
      </c>
      <c r="B53" s="222" t="inlineStr"/>
      <c r="C53" s="222" t="inlineStr">
        <is>
          <t>TOH MH Site</t>
        </is>
      </c>
      <c r="D53" s="40" t="inlineStr">
        <is>
          <t>Occupied</t>
        </is>
      </c>
      <c r="E53" s="319" t="n"/>
      <c r="F53" s="55" t="inlineStr">
        <is>
          <t>Individual tenants (names not provided in extraction) 51</t>
        </is>
      </c>
      <c r="G53" s="55" t="n"/>
      <c r="H53" s="50" t="n"/>
      <c r="I53" s="37" t="n">
        <v>966.38</v>
      </c>
      <c r="J53" s="273" t="n">
        <v>0</v>
      </c>
      <c r="K53" s="35">
        <f>IFERROR(I53+J53,0)</f>
        <v/>
      </c>
      <c r="L53" s="48" t="n"/>
      <c r="M53" s="50">
        <f>K53+L53+I53</f>
        <v/>
      </c>
      <c r="N53" s="46" t="n"/>
      <c r="O53" s="41" t="n"/>
      <c r="P53" s="47" t="n"/>
      <c r="Q53" s="46" t="n"/>
      <c r="R53" s="57" t="n"/>
      <c r="S53" s="41" t="n"/>
      <c r="T53" s="47" t="n"/>
    </row>
    <row r="54" ht="15" customHeight="1">
      <c r="A54" s="39">
        <f>IF(C54="","",ROW()-2)</f>
        <v/>
      </c>
      <c r="B54" s="222" t="inlineStr"/>
      <c r="C54" s="222" t="inlineStr">
        <is>
          <t>TOH MH Site</t>
        </is>
      </c>
      <c r="D54" s="40" t="inlineStr">
        <is>
          <t>Occupied</t>
        </is>
      </c>
      <c r="E54" s="319" t="n"/>
      <c r="F54" s="55" t="inlineStr">
        <is>
          <t>Individual tenants (names not provided in extraction) 52</t>
        </is>
      </c>
      <c r="G54" s="55" t="n"/>
      <c r="H54" s="50" t="n"/>
      <c r="I54" s="37" t="n">
        <v>966.38</v>
      </c>
      <c r="J54" s="273" t="n">
        <v>0</v>
      </c>
      <c r="K54" s="35">
        <f>IFERROR(I54+J54,0)</f>
        <v/>
      </c>
      <c r="L54" s="48" t="n"/>
      <c r="M54" s="50">
        <f>K54+L54+I54</f>
        <v/>
      </c>
      <c r="N54" s="46" t="n"/>
      <c r="O54" s="41" t="n"/>
      <c r="P54" s="47" t="n"/>
      <c r="Q54" s="46" t="n"/>
      <c r="R54" s="57" t="n"/>
      <c r="S54" s="41" t="n"/>
      <c r="T54" s="47" t="n"/>
    </row>
    <row r="55" ht="15" customHeight="1">
      <c r="A55" s="39">
        <f>IF(C55="","",ROW()-2)</f>
        <v/>
      </c>
      <c r="B55" s="222" t="inlineStr"/>
      <c r="C55" s="222" t="inlineStr">
        <is>
          <t>TOH MH Site</t>
        </is>
      </c>
      <c r="D55" s="40" t="inlineStr">
        <is>
          <t>Occupied</t>
        </is>
      </c>
      <c r="E55" s="319" t="n"/>
      <c r="F55" s="55" t="inlineStr">
        <is>
          <t>Individual tenants (names not provided in extraction) 53</t>
        </is>
      </c>
      <c r="G55" s="55" t="n"/>
      <c r="H55" s="50" t="n"/>
      <c r="I55" s="37" t="n">
        <v>966.38</v>
      </c>
      <c r="J55" s="273" t="n">
        <v>0</v>
      </c>
      <c r="K55" s="35">
        <f>IFERROR(I55+J55,0)</f>
        <v/>
      </c>
      <c r="L55" s="48" t="n"/>
      <c r="M55" s="50">
        <f>K55+L55+I55</f>
        <v/>
      </c>
      <c r="N55" s="46" t="n"/>
      <c r="O55" s="41" t="n"/>
      <c r="P55" s="47" t="n"/>
      <c r="Q55" s="46" t="n"/>
      <c r="R55" s="57" t="n"/>
      <c r="S55" s="41" t="n"/>
      <c r="T55" s="47" t="n"/>
    </row>
    <row r="56" ht="15" customHeight="1">
      <c r="A56" s="39">
        <f>IF(C56="","",ROW()-2)</f>
        <v/>
      </c>
      <c r="B56" s="222" t="inlineStr"/>
      <c r="C56" s="222" t="inlineStr">
        <is>
          <t>TOH MH Site</t>
        </is>
      </c>
      <c r="D56" s="40" t="inlineStr">
        <is>
          <t>Occupied</t>
        </is>
      </c>
      <c r="E56" s="319" t="n"/>
      <c r="F56" s="55" t="inlineStr">
        <is>
          <t>Individual tenants (names not provided in extraction) 54</t>
        </is>
      </c>
      <c r="G56" s="55" t="n"/>
      <c r="H56" s="50" t="n"/>
      <c r="I56" s="37" t="n">
        <v>966.38</v>
      </c>
      <c r="J56" s="273" t="n">
        <v>0</v>
      </c>
      <c r="K56" s="35">
        <f>IFERROR(I56+J56,0)</f>
        <v/>
      </c>
      <c r="L56" s="48" t="n"/>
      <c r="M56" s="50">
        <f>K56+L56+I56</f>
        <v/>
      </c>
      <c r="N56" s="46" t="n"/>
      <c r="O56" s="41" t="n"/>
      <c r="P56" s="47" t="n"/>
      <c r="Q56" s="46" t="n"/>
      <c r="R56" s="57" t="n"/>
      <c r="S56" s="41" t="n"/>
      <c r="T56" s="47" t="n"/>
    </row>
    <row r="57" ht="15" customHeight="1">
      <c r="A57" s="39">
        <f>IF(C57="","",ROW()-2)</f>
        <v/>
      </c>
      <c r="B57" s="222" t="inlineStr"/>
      <c r="C57" s="222" t="inlineStr">
        <is>
          <t>TOH MH Site</t>
        </is>
      </c>
      <c r="D57" s="40" t="inlineStr">
        <is>
          <t>Occupied</t>
        </is>
      </c>
      <c r="E57" s="319" t="n"/>
      <c r="F57" s="55" t="inlineStr">
        <is>
          <t>Individual tenants (names not provided in extraction) 55</t>
        </is>
      </c>
      <c r="G57" s="55" t="n"/>
      <c r="H57" s="50" t="n"/>
      <c r="I57" s="37" t="n">
        <v>966.38</v>
      </c>
      <c r="J57" s="273" t="n">
        <v>0</v>
      </c>
      <c r="K57" s="35">
        <f>IFERROR(I57+J57,0)</f>
        <v/>
      </c>
      <c r="L57" s="48" t="n"/>
      <c r="M57" s="50">
        <f>K57+L57+I57</f>
        <v/>
      </c>
      <c r="N57" s="46" t="n"/>
      <c r="O57" s="41" t="n"/>
      <c r="P57" s="47" t="n"/>
      <c r="Q57" s="46" t="n"/>
      <c r="R57" s="57" t="n"/>
      <c r="S57" s="41" t="n"/>
      <c r="T57" s="47" t="n"/>
    </row>
    <row r="58" ht="15" customHeight="1">
      <c r="A58" s="39">
        <f>IF(C58="","",ROW()-2)</f>
        <v/>
      </c>
      <c r="B58" s="222" t="inlineStr"/>
      <c r="C58" s="222" t="inlineStr">
        <is>
          <t>TOH MH Site</t>
        </is>
      </c>
      <c r="D58" s="40" t="inlineStr">
        <is>
          <t>Occupied</t>
        </is>
      </c>
      <c r="E58" s="319" t="n"/>
      <c r="F58" s="55" t="inlineStr">
        <is>
          <t>Individual tenants (names not provided in extraction) 56</t>
        </is>
      </c>
      <c r="G58" s="55" t="n"/>
      <c r="H58" s="50" t="n"/>
      <c r="I58" s="37" t="n">
        <v>966.38</v>
      </c>
      <c r="J58" s="273" t="n">
        <v>0</v>
      </c>
      <c r="K58" s="35">
        <f>IFERROR(I58+J58,0)</f>
        <v/>
      </c>
      <c r="L58" s="48" t="n"/>
      <c r="M58" s="50">
        <f>K58+L58+I58</f>
        <v/>
      </c>
      <c r="N58" s="46" t="n"/>
      <c r="O58" s="41" t="n"/>
      <c r="P58" s="47" t="n"/>
      <c r="Q58" s="46" t="n"/>
      <c r="R58" s="57" t="n"/>
      <c r="S58" s="41" t="n"/>
      <c r="T58" s="47" t="n"/>
    </row>
    <row r="59" ht="15" customHeight="1">
      <c r="A59" s="39">
        <f>IF(C59="","",ROW()-2)</f>
        <v/>
      </c>
      <c r="B59" s="222" t="inlineStr"/>
      <c r="C59" s="222" t="inlineStr">
        <is>
          <t>TOH MH Site</t>
        </is>
      </c>
      <c r="D59" s="40" t="inlineStr">
        <is>
          <t>Occupied</t>
        </is>
      </c>
      <c r="E59" s="319" t="n"/>
      <c r="F59" s="55" t="inlineStr">
        <is>
          <t>Individual tenants (names not provided in extraction) 57</t>
        </is>
      </c>
      <c r="G59" s="55" t="n"/>
      <c r="H59" s="50" t="n"/>
      <c r="I59" s="37" t="n">
        <v>966.38</v>
      </c>
      <c r="J59" s="273" t="n">
        <v>0</v>
      </c>
      <c r="K59" s="35">
        <f>IFERROR(I59+J59,0)</f>
        <v/>
      </c>
      <c r="L59" s="48" t="n"/>
      <c r="M59" s="50">
        <f>K59+L59+I59</f>
        <v/>
      </c>
      <c r="N59" s="46" t="n"/>
      <c r="O59" s="41" t="n"/>
      <c r="P59" s="47" t="n"/>
      <c r="Q59" s="46" t="n"/>
      <c r="R59" s="57" t="n"/>
      <c r="S59" s="41" t="n"/>
      <c r="T59" s="47" t="n"/>
    </row>
    <row r="60" ht="15" customHeight="1">
      <c r="A60" s="39">
        <f>IF(C60="","",ROW()-2)</f>
        <v/>
      </c>
      <c r="B60" s="222" t="inlineStr"/>
      <c r="C60" s="222" t="inlineStr">
        <is>
          <t>TOH MH Site</t>
        </is>
      </c>
      <c r="D60" s="40" t="inlineStr">
        <is>
          <t>Occupied</t>
        </is>
      </c>
      <c r="E60" s="319" t="n"/>
      <c r="F60" s="55" t="inlineStr">
        <is>
          <t>Individual tenants (names not provided in extraction) 58</t>
        </is>
      </c>
      <c r="G60" s="55" t="n"/>
      <c r="H60" s="50" t="n"/>
      <c r="I60" s="37" t="n">
        <v>966.38</v>
      </c>
      <c r="J60" s="273" t="n">
        <v>0</v>
      </c>
      <c r="K60" s="35">
        <f>IFERROR(I60+J60,0)</f>
        <v/>
      </c>
      <c r="L60" s="48" t="n"/>
      <c r="M60" s="50">
        <f>K60+L60+I60</f>
        <v/>
      </c>
      <c r="N60" s="46" t="n"/>
      <c r="O60" s="41" t="n"/>
      <c r="P60" s="47" t="n"/>
      <c r="Q60" s="46" t="n"/>
      <c r="R60" s="57" t="n"/>
      <c r="S60" s="41" t="n"/>
      <c r="T60" s="47" t="n"/>
    </row>
    <row r="61" ht="15" customHeight="1">
      <c r="A61" s="39">
        <f>IF(C61="","",ROW()-2)</f>
        <v/>
      </c>
      <c r="B61" s="222" t="inlineStr"/>
      <c r="C61" s="222" t="inlineStr">
        <is>
          <t>TOH MH Site</t>
        </is>
      </c>
      <c r="D61" s="40" t="inlineStr">
        <is>
          <t>Occupied</t>
        </is>
      </c>
      <c r="E61" s="319" t="n"/>
      <c r="F61" s="55" t="inlineStr">
        <is>
          <t>Individual tenants (names not provided in extraction) 59</t>
        </is>
      </c>
      <c r="G61" s="55" t="n"/>
      <c r="H61" s="50" t="n"/>
      <c r="I61" s="37" t="n">
        <v>966.38</v>
      </c>
      <c r="J61" s="273" t="n">
        <v>0</v>
      </c>
      <c r="K61" s="35">
        <f>IFERROR(I61+J61,0)</f>
        <v/>
      </c>
      <c r="L61" s="48" t="n"/>
      <c r="M61" s="50">
        <f>K61+L61+I61</f>
        <v/>
      </c>
      <c r="N61" s="46" t="n"/>
      <c r="O61" s="41" t="n"/>
      <c r="P61" s="47" t="n"/>
      <c r="Q61" s="46" t="n"/>
      <c r="R61" s="57" t="n"/>
      <c r="S61" s="41" t="n"/>
      <c r="T61" s="47" t="n"/>
    </row>
    <row r="62" ht="15" customHeight="1">
      <c r="A62" s="39">
        <f>IF(C62="","",ROW()-2)</f>
        <v/>
      </c>
      <c r="B62" s="222" t="inlineStr"/>
      <c r="C62" s="222" t="inlineStr">
        <is>
          <t>TOH MH Site</t>
        </is>
      </c>
      <c r="D62" s="40" t="inlineStr">
        <is>
          <t>Occupied</t>
        </is>
      </c>
      <c r="E62" s="319" t="n"/>
      <c r="F62" s="55" t="inlineStr">
        <is>
          <t>Individual tenants (names not provided in extraction) 60</t>
        </is>
      </c>
      <c r="G62" s="55" t="n"/>
      <c r="H62" s="50" t="n"/>
      <c r="I62" s="37" t="n">
        <v>966.38</v>
      </c>
      <c r="J62" s="273" t="n">
        <v>0</v>
      </c>
      <c r="K62" s="35">
        <f>IFERROR(I62+J62,0)</f>
        <v/>
      </c>
      <c r="L62" s="48" t="n"/>
      <c r="M62" s="50">
        <f>K62+L62+I62</f>
        <v/>
      </c>
      <c r="N62" s="46" t="n"/>
      <c r="O62" s="41" t="n"/>
      <c r="P62" s="47" t="n"/>
      <c r="Q62" s="46" t="n"/>
      <c r="R62" s="57" t="n"/>
      <c r="S62" s="41" t="n"/>
      <c r="T62" s="47" t="n"/>
    </row>
    <row r="63" ht="15" customHeight="1">
      <c r="A63" s="39">
        <f>IF(C63="","",ROW()-2)</f>
        <v/>
      </c>
      <c r="B63" s="222" t="inlineStr"/>
      <c r="C63" s="222" t="inlineStr">
        <is>
          <t>TOH MH Site</t>
        </is>
      </c>
      <c r="D63" s="40" t="inlineStr">
        <is>
          <t>Occupied</t>
        </is>
      </c>
      <c r="E63" s="319" t="n"/>
      <c r="F63" s="55" t="inlineStr">
        <is>
          <t>Individual tenants (names not provided in extraction) 61</t>
        </is>
      </c>
      <c r="G63" s="55" t="n"/>
      <c r="H63" s="50" t="n"/>
      <c r="I63" s="37" t="n">
        <v>966.38</v>
      </c>
      <c r="J63" s="273" t="n">
        <v>0</v>
      </c>
      <c r="K63" s="35">
        <f>IFERROR(I63+J63,0)</f>
        <v/>
      </c>
      <c r="L63" s="48" t="n"/>
      <c r="M63" s="50">
        <f>K63+L63+I63</f>
        <v/>
      </c>
      <c r="N63" s="46" t="n"/>
      <c r="O63" s="41" t="n"/>
      <c r="P63" s="47" t="n"/>
      <c r="Q63" s="46" t="n"/>
      <c r="R63" s="57" t="n"/>
      <c r="S63" s="41" t="n"/>
      <c r="T63" s="47" t="n"/>
    </row>
    <row r="64" ht="15" customHeight="1">
      <c r="A64" s="39">
        <f>IF(C64="","",ROW()-2)</f>
        <v/>
      </c>
      <c r="B64" s="222" t="inlineStr"/>
      <c r="C64" s="222" t="inlineStr">
        <is>
          <t>TOH MH Site</t>
        </is>
      </c>
      <c r="D64" s="40" t="inlineStr">
        <is>
          <t>Occupied</t>
        </is>
      </c>
      <c r="E64" s="319" t="n"/>
      <c r="F64" s="55" t="inlineStr">
        <is>
          <t>Individual tenants (names not provided in extraction) 62</t>
        </is>
      </c>
      <c r="G64" s="55" t="n"/>
      <c r="H64" s="50" t="n"/>
      <c r="I64" s="37" t="n">
        <v>966.38</v>
      </c>
      <c r="J64" s="273" t="n">
        <v>0</v>
      </c>
      <c r="K64" s="35">
        <f>IFERROR(I64+J64,0)</f>
        <v/>
      </c>
      <c r="L64" s="48" t="n"/>
      <c r="M64" s="50">
        <f>K64+L64+I64</f>
        <v/>
      </c>
      <c r="N64" s="46" t="n"/>
      <c r="O64" s="41" t="n"/>
      <c r="P64" s="47" t="n"/>
      <c r="Q64" s="46" t="n"/>
      <c r="R64" s="57" t="n"/>
      <c r="S64" s="41" t="n"/>
      <c r="T64" s="47" t="n"/>
    </row>
    <row r="65" ht="15" customHeight="1">
      <c r="A65" s="39">
        <f>IF(C65="","",ROW()-2)</f>
        <v/>
      </c>
      <c r="B65" s="222" t="inlineStr"/>
      <c r="C65" s="222" t="inlineStr">
        <is>
          <t>TOH MH Site</t>
        </is>
      </c>
      <c r="D65" s="40" t="inlineStr">
        <is>
          <t>Occupied</t>
        </is>
      </c>
      <c r="E65" s="319" t="n"/>
      <c r="F65" s="55" t="inlineStr">
        <is>
          <t>Individual tenants (names not provided in extraction) 63</t>
        </is>
      </c>
      <c r="G65" s="55" t="n"/>
      <c r="H65" s="50" t="n"/>
      <c r="I65" s="37" t="n">
        <v>966.38</v>
      </c>
      <c r="J65" s="273" t="n">
        <v>0</v>
      </c>
      <c r="K65" s="35">
        <f>IFERROR(I65+J65,0)</f>
        <v/>
      </c>
      <c r="L65" s="48" t="n"/>
      <c r="M65" s="50">
        <f>K65+L65+I65</f>
        <v/>
      </c>
      <c r="N65" s="46" t="n"/>
      <c r="O65" s="41" t="n"/>
      <c r="P65" s="47" t="n"/>
      <c r="Q65" s="46" t="n"/>
      <c r="R65" s="57" t="n"/>
      <c r="S65" s="41" t="n"/>
      <c r="T65" s="47" t="n"/>
    </row>
    <row r="66" ht="15" customHeight="1">
      <c r="A66" s="39">
        <f>IF(C66="","",ROW()-2)</f>
        <v/>
      </c>
      <c r="B66" s="222" t="inlineStr"/>
      <c r="C66" s="222" t="inlineStr">
        <is>
          <t>TOH MH Site</t>
        </is>
      </c>
      <c r="D66" s="40" t="inlineStr">
        <is>
          <t>Occupied</t>
        </is>
      </c>
      <c r="E66" s="319" t="n"/>
      <c r="F66" s="55" t="inlineStr">
        <is>
          <t>Individual tenants (names not provided in extraction) 64</t>
        </is>
      </c>
      <c r="G66" s="55" t="n"/>
      <c r="H66" s="50" t="n"/>
      <c r="I66" s="37" t="n">
        <v>966.38</v>
      </c>
      <c r="J66" s="273" t="n">
        <v>0</v>
      </c>
      <c r="K66" s="35">
        <f>IFERROR(I66+J66,0)</f>
        <v/>
      </c>
      <c r="L66" s="48" t="n"/>
      <c r="M66" s="50">
        <f>K66+L66+I66</f>
        <v/>
      </c>
      <c r="N66" s="46" t="n"/>
      <c r="O66" s="41" t="n"/>
      <c r="P66" s="47" t="n"/>
      <c r="Q66" s="46" t="n"/>
      <c r="R66" s="57" t="n"/>
      <c r="S66" s="41" t="n"/>
      <c r="T66" s="47" t="n"/>
    </row>
    <row r="67" ht="15" customHeight="1">
      <c r="A67" s="39">
        <f>IF(C67="","",ROW()-2)</f>
        <v/>
      </c>
      <c r="B67" s="222" t="inlineStr"/>
      <c r="C67" s="222" t="inlineStr">
        <is>
          <t>TOH MH Site</t>
        </is>
      </c>
      <c r="D67" s="40" t="inlineStr">
        <is>
          <t>Occupied</t>
        </is>
      </c>
      <c r="E67" s="319" t="n"/>
      <c r="F67" s="55" t="inlineStr">
        <is>
          <t>Individual tenants (names not provided in extraction) 65</t>
        </is>
      </c>
      <c r="G67" s="55" t="n"/>
      <c r="H67" s="50" t="n"/>
      <c r="I67" s="37" t="n">
        <v>966.38</v>
      </c>
      <c r="J67" s="273" t="n">
        <v>0</v>
      </c>
      <c r="K67" s="35">
        <f>IFERROR(I67+J67,0)</f>
        <v/>
      </c>
      <c r="L67" s="48" t="n"/>
      <c r="M67" s="50">
        <f>K67+L67+I67</f>
        <v/>
      </c>
      <c r="N67" s="46" t="n"/>
      <c r="O67" s="41" t="n"/>
      <c r="P67" s="47" t="n"/>
      <c r="Q67" s="46" t="n"/>
      <c r="R67" s="57" t="n"/>
      <c r="S67" s="41" t="n"/>
      <c r="T67" s="47" t="n"/>
    </row>
    <row r="68" ht="15" customHeight="1">
      <c r="A68" s="39">
        <f>IF(C68="","",ROW()-2)</f>
        <v/>
      </c>
      <c r="B68" s="222" t="inlineStr"/>
      <c r="C68" s="222" t="inlineStr">
        <is>
          <t>TOH MH Site</t>
        </is>
      </c>
      <c r="D68" s="40" t="inlineStr">
        <is>
          <t>Occupied</t>
        </is>
      </c>
      <c r="E68" s="319" t="n"/>
      <c r="F68" s="55" t="inlineStr">
        <is>
          <t>Individual tenants (names not provided in extraction) 66</t>
        </is>
      </c>
      <c r="G68" s="55" t="n"/>
      <c r="H68" s="50" t="n"/>
      <c r="I68" s="37" t="n">
        <v>966.38</v>
      </c>
      <c r="J68" s="273" t="n">
        <v>0</v>
      </c>
      <c r="K68" s="35">
        <f>IFERROR(I68+J68,0)</f>
        <v/>
      </c>
      <c r="L68" s="48" t="n"/>
      <c r="M68" s="50">
        <f>K68+L68+I68</f>
        <v/>
      </c>
      <c r="N68" s="46" t="n"/>
      <c r="O68" s="41" t="n"/>
      <c r="P68" s="47" t="n"/>
      <c r="Q68" s="46" t="n"/>
      <c r="R68" s="57" t="n"/>
      <c r="S68" s="41" t="n"/>
      <c r="T68" s="47" t="n"/>
    </row>
    <row r="69" ht="15" customHeight="1">
      <c r="A69" s="39">
        <f>IF(C69="","",ROW()-2)</f>
        <v/>
      </c>
      <c r="B69" s="222" t="inlineStr"/>
      <c r="C69" s="222" t="inlineStr">
        <is>
          <t>TOH MH Site</t>
        </is>
      </c>
      <c r="D69" s="40" t="inlineStr">
        <is>
          <t>Occupied</t>
        </is>
      </c>
      <c r="E69" s="319" t="n"/>
      <c r="F69" s="55" t="inlineStr">
        <is>
          <t>Individual tenants (names not provided in extraction) 67</t>
        </is>
      </c>
      <c r="G69" s="55" t="n"/>
      <c r="H69" s="50" t="n"/>
      <c r="I69" s="37" t="n">
        <v>966.38</v>
      </c>
      <c r="J69" s="273" t="n">
        <v>0</v>
      </c>
      <c r="K69" s="35">
        <f>IFERROR(I69+J69,0)</f>
        <v/>
      </c>
      <c r="L69" s="48" t="n"/>
      <c r="M69" s="50">
        <f>K69+L69+I69</f>
        <v/>
      </c>
      <c r="N69" s="46" t="n"/>
      <c r="O69" s="41" t="n"/>
      <c r="P69" s="47" t="n"/>
      <c r="Q69" s="46" t="n"/>
      <c r="R69" s="57" t="n"/>
      <c r="S69" s="41" t="n"/>
      <c r="T69" s="47" t="n"/>
    </row>
    <row r="70" ht="15" customHeight="1">
      <c r="A70" s="39">
        <f>IF(C70="","",ROW()-2)</f>
        <v/>
      </c>
      <c r="B70" s="222" t="inlineStr"/>
      <c r="C70" s="222" t="inlineStr">
        <is>
          <t>TOH MH Site</t>
        </is>
      </c>
      <c r="D70" s="40" t="inlineStr">
        <is>
          <t>Occupied</t>
        </is>
      </c>
      <c r="E70" s="319" t="n"/>
      <c r="F70" s="55" t="inlineStr">
        <is>
          <t>Individual tenants (names not provided in extraction) 68</t>
        </is>
      </c>
      <c r="G70" s="55" t="n"/>
      <c r="H70" s="50" t="n"/>
      <c r="I70" s="37" t="n">
        <v>966.38</v>
      </c>
      <c r="J70" s="37" t="n">
        <v>0</v>
      </c>
      <c r="K70" s="35">
        <f>IFERROR(I70+J70,0)</f>
        <v/>
      </c>
      <c r="L70" s="48" t="n"/>
      <c r="M70" s="50">
        <f>K70+L70+I70</f>
        <v/>
      </c>
      <c r="N70" s="46" t="n"/>
      <c r="O70" s="41" t="n"/>
      <c r="P70" s="47" t="n"/>
      <c r="Q70" s="46" t="n"/>
      <c r="R70" s="57" t="n"/>
      <c r="S70" s="41" t="n"/>
      <c r="T70" s="47" t="n"/>
    </row>
    <row r="71" ht="15" customHeight="1">
      <c r="A71" s="39">
        <f>IF(C71="","",ROW()-2)</f>
        <v/>
      </c>
      <c r="B71" s="222" t="inlineStr"/>
      <c r="C71" s="222" t="inlineStr">
        <is>
          <t>TOH MH Site</t>
        </is>
      </c>
      <c r="D71" s="40" t="inlineStr">
        <is>
          <t>Occupied</t>
        </is>
      </c>
      <c r="E71" s="319" t="n"/>
      <c r="F71" s="55" t="inlineStr">
        <is>
          <t>Individual tenants (names not provided in extraction) 69</t>
        </is>
      </c>
      <c r="G71" s="55" t="n"/>
      <c r="H71" s="50" t="n"/>
      <c r="I71" s="37" t="n">
        <v>966.38</v>
      </c>
      <c r="J71" s="37" t="n">
        <v>0</v>
      </c>
      <c r="K71" s="35">
        <f>IFERROR(I71+J71,0)</f>
        <v/>
      </c>
      <c r="L71" s="48" t="n"/>
      <c r="M71" s="50">
        <f>K71+L71+I71</f>
        <v/>
      </c>
      <c r="N71" s="46" t="n"/>
      <c r="O71" s="41" t="n"/>
      <c r="P71" s="47" t="n"/>
      <c r="Q71" s="46" t="n"/>
      <c r="R71" s="57" t="n"/>
      <c r="S71" s="41" t="n"/>
      <c r="T71" s="47" t="n"/>
    </row>
    <row r="72" ht="15.75" customHeight="1" thickBot="1">
      <c r="A72" s="39">
        <f>IF(C72="","",ROW()-2)</f>
        <v/>
      </c>
      <c r="B72" s="726" t="inlineStr"/>
      <c r="C72" s="222" t="inlineStr">
        <is>
          <t>TOH MH Site</t>
        </is>
      </c>
      <c r="D72" s="40" t="inlineStr">
        <is>
          <t>Occupied</t>
        </is>
      </c>
      <c r="E72" s="319" t="n"/>
      <c r="F72" s="55" t="inlineStr">
        <is>
          <t>Individual tenants (names not provided in extraction) 70</t>
        </is>
      </c>
      <c r="G72" s="55" t="n"/>
      <c r="H72" s="50" t="n"/>
      <c r="I72" s="37" t="n">
        <v>966.38</v>
      </c>
      <c r="J72" s="37" t="n">
        <v>0</v>
      </c>
      <c r="K72" s="35">
        <f>IFERROR(I72+J72,0)</f>
        <v/>
      </c>
      <c r="L72" s="48" t="n"/>
      <c r="M72" s="50">
        <f>K72+L72+I72</f>
        <v/>
      </c>
      <c r="N72" s="46" t="n"/>
      <c r="O72" s="41" t="n"/>
      <c r="P72" s="47" t="n"/>
      <c r="Q72" s="46" t="n"/>
      <c r="R72" s="57" t="n"/>
      <c r="S72" s="41" t="n"/>
      <c r="T72" s="47" t="n"/>
    </row>
    <row r="73" ht="32.25" customHeight="1" thickBot="1">
      <c r="A73" s="824">
        <f>IF(C73="","",ROW()-2)</f>
        <v/>
      </c>
      <c r="B73" s="825" t="inlineStr"/>
      <c r="C73" s="826" t="inlineStr">
        <is>
          <t>TOH MH Site</t>
        </is>
      </c>
      <c r="D73" s="827" t="inlineStr">
        <is>
          <t>Occupied</t>
        </is>
      </c>
      <c r="E73" s="828" t="n"/>
      <c r="F73" s="829" t="inlineStr">
        <is>
          <t>Individual tenants (names not provided in extraction) 71</t>
        </is>
      </c>
      <c r="G73" s="829" t="n"/>
      <c r="H73" s="830" t="n"/>
      <c r="I73" s="37" t="n">
        <v>966.38</v>
      </c>
      <c r="J73" s="37" t="n">
        <v>0</v>
      </c>
      <c r="K73" s="35">
        <f>IFERROR(I73+J73,0)</f>
        <v/>
      </c>
      <c r="L73" s="81" t="n"/>
      <c r="M73" s="78" t="n"/>
      <c r="N73" s="76" t="n"/>
      <c r="O73" s="80">
        <f>SUM(O3:O72)</f>
        <v/>
      </c>
      <c r="P73" s="77">
        <f>SUM(P3:P72)</f>
        <v/>
      </c>
      <c r="Q73" s="76">
        <f>SUM(Q3:Q72)</f>
        <v/>
      </c>
      <c r="R73" s="80" t="inlineStr">
        <is>
          <t>N/A</t>
        </is>
      </c>
      <c r="S73" s="80" t="inlineStr">
        <is>
          <t>N/A</t>
        </is>
      </c>
      <c r="T73" s="77">
        <f>SUM(T3:T72)</f>
        <v/>
      </c>
    </row>
    <row r="74" ht="15" customFormat="1" customHeight="1" s="3">
      <c r="A74" s="824">
        <f>IF(C74="","",ROW()-2)</f>
        <v/>
      </c>
      <c r="B74" s="825" t="inlineStr"/>
      <c r="C74" s="826" t="inlineStr">
        <is>
          <t>TOH MH Site</t>
        </is>
      </c>
      <c r="D74" s="827" t="inlineStr">
        <is>
          <t>Occupied</t>
        </is>
      </c>
      <c r="E74" s="828" t="n"/>
      <c r="F74" s="829" t="inlineStr">
        <is>
          <t>Individual tenants (names not provided in extraction) 72</t>
        </is>
      </c>
      <c r="G74" s="829" t="n"/>
      <c r="H74" s="830" t="n"/>
      <c r="I74" s="37" t="n">
        <v>966.38</v>
      </c>
      <c r="J74" s="37" t="n">
        <v>0</v>
      </c>
      <c r="K74" s="35">
        <f>IFERROR(I74+J74,0)</f>
        <v/>
      </c>
      <c r="U74" s="59" t="n"/>
      <c r="V74" s="59" t="n"/>
      <c r="W74" s="59" t="n"/>
      <c r="X74" s="59" t="n"/>
      <c r="Y74" s="59" t="n"/>
      <c r="Z74" s="59" t="n"/>
      <c r="AA74" s="59" t="n"/>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IF(C75="","",ROW()-2)</f>
        <v/>
      </c>
      <c r="B75" s="825" t="inlineStr"/>
      <c r="C75" s="826" t="inlineStr">
        <is>
          <t>TOH MH Site</t>
        </is>
      </c>
      <c r="D75" s="827" t="inlineStr">
        <is>
          <t>Occupied</t>
        </is>
      </c>
      <c r="E75" s="828" t="n"/>
      <c r="F75" s="829" t="inlineStr">
        <is>
          <t>Individual tenants (names not provided in extraction) 73</t>
        </is>
      </c>
      <c r="G75" s="829" t="n"/>
      <c r="H75" s="830" t="n"/>
      <c r="I75" s="37" t="n">
        <v>966.38</v>
      </c>
      <c r="J75" s="37" t="n">
        <v>0</v>
      </c>
      <c r="K75" s="35">
        <f>IFERROR(I75+J75,0)</f>
        <v/>
      </c>
      <c r="N75" s="271" t="n"/>
      <c r="O75" s="307">
        <f>O73*12</f>
        <v/>
      </c>
    </row>
    <row r="76" ht="15" customFormat="1" customHeight="1" s="3">
      <c r="A76" s="824">
        <f>IF(C76="","",ROW()-2)</f>
        <v/>
      </c>
      <c r="B76" s="825" t="inlineStr"/>
      <c r="C76" s="826" t="inlineStr">
        <is>
          <t>TOH MH Site</t>
        </is>
      </c>
      <c r="D76" s="827" t="inlineStr">
        <is>
          <t>Occupied</t>
        </is>
      </c>
      <c r="E76" s="828" t="n"/>
      <c r="F76" s="829" t="inlineStr">
        <is>
          <t>Individual tenants (names not provided in extraction) 74</t>
        </is>
      </c>
      <c r="G76" s="829" t="n"/>
      <c r="H76" s="830" t="n"/>
      <c r="I76" s="37" t="n">
        <v>966.38</v>
      </c>
      <c r="J76" s="37" t="n">
        <v>0</v>
      </c>
      <c r="K76" s="35">
        <f>IFERROR(I76+J76,0)</f>
        <v/>
      </c>
      <c r="U76" s="59" t="n"/>
      <c r="V76" s="59" t="n"/>
      <c r="W76" s="59" t="n"/>
      <c r="X76" s="59" t="n"/>
      <c r="Y76" s="59" t="n"/>
      <c r="Z76" s="59" t="n"/>
      <c r="AA76" s="59" t="n"/>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IF(C77="","",ROW()-2)</f>
        <v/>
      </c>
      <c r="B77" s="825" t="inlineStr"/>
      <c r="C77" s="826" t="inlineStr">
        <is>
          <t>TOH MH Site</t>
        </is>
      </c>
      <c r="D77" s="827" t="inlineStr">
        <is>
          <t>Occupied</t>
        </is>
      </c>
      <c r="E77" s="828" t="n"/>
      <c r="F77" s="829" t="inlineStr">
        <is>
          <t>Individual tenants (names not provided in extraction) 75</t>
        </is>
      </c>
      <c r="G77" s="829" t="n"/>
      <c r="H77" s="830" t="n"/>
      <c r="I77" s="37" t="n">
        <v>966.38</v>
      </c>
      <c r="J77" s="37" t="n">
        <v>0</v>
      </c>
      <c r="K77" s="35">
        <f>IFERROR(I77+J77,0)</f>
        <v/>
      </c>
      <c r="U77" s="59" t="n"/>
      <c r="V77" s="59" t="n"/>
      <c r="W77" s="59" t="n"/>
      <c r="X77" s="59" t="n"/>
      <c r="Y77" s="59" t="n"/>
      <c r="Z77" s="59" t="n"/>
      <c r="AA77" s="59" t="n"/>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IF(C78="","",ROW()-2)</f>
        <v/>
      </c>
      <c r="B78" s="825" t="inlineStr"/>
      <c r="C78" s="826" t="inlineStr">
        <is>
          <t>TOH MH Site</t>
        </is>
      </c>
      <c r="D78" s="827" t="inlineStr">
        <is>
          <t>Occupied</t>
        </is>
      </c>
      <c r="E78" s="828" t="n"/>
      <c r="F78" s="829" t="inlineStr">
        <is>
          <t>Individual tenants (names not provided in extraction) 76</t>
        </is>
      </c>
      <c r="G78" s="829" t="n"/>
      <c r="H78" s="830" t="n"/>
      <c r="I78" s="37" t="n">
        <v>966.38</v>
      </c>
      <c r="J78" s="37" t="n">
        <v>0</v>
      </c>
      <c r="K78" s="35">
        <f>IFERROR(I78+J78,0)</f>
        <v/>
      </c>
      <c r="U78" s="59" t="n"/>
      <c r="V78" s="59" t="n"/>
      <c r="W78" s="59" t="n"/>
      <c r="X78" s="59" t="n"/>
      <c r="Y78" s="59" t="n"/>
      <c r="Z78" s="59" t="n"/>
      <c r="AA78" s="59" t="n"/>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IF(C79="","",ROW()-2)</f>
        <v/>
      </c>
      <c r="B79" s="825" t="inlineStr"/>
      <c r="C79" s="826" t="inlineStr">
        <is>
          <t>TOH MH Site</t>
        </is>
      </c>
      <c r="D79" s="827" t="inlineStr">
        <is>
          <t>Occupied</t>
        </is>
      </c>
      <c r="E79" s="828" t="n"/>
      <c r="F79" s="829" t="inlineStr">
        <is>
          <t>Individual tenants (names not provided in extraction) 77</t>
        </is>
      </c>
      <c r="G79" s="829" t="n"/>
      <c r="H79" s="830" t="n"/>
      <c r="I79" s="37" t="n">
        <v>966.38</v>
      </c>
      <c r="J79" s="37" t="n">
        <v>0</v>
      </c>
      <c r="K79" s="35">
        <f>IFERROR(I79+J79,0)</f>
        <v/>
      </c>
      <c r="U79" s="59" t="n"/>
      <c r="V79" s="59" t="n"/>
      <c r="W79" s="59" t="n"/>
      <c r="X79" s="59" t="n"/>
      <c r="Y79" s="59" t="n"/>
      <c r="Z79" s="59" t="n"/>
      <c r="AA79" s="59" t="n"/>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IF(C80="","",ROW()-2)</f>
        <v/>
      </c>
      <c r="B80" s="825" t="inlineStr"/>
      <c r="C80" s="826" t="inlineStr">
        <is>
          <t>TOH MH Site</t>
        </is>
      </c>
      <c r="D80" s="827" t="inlineStr">
        <is>
          <t>Occupied</t>
        </is>
      </c>
      <c r="E80" s="828" t="n"/>
      <c r="F80" s="829" t="inlineStr">
        <is>
          <t>Individual tenants (names not provided in extraction) 78</t>
        </is>
      </c>
      <c r="G80" s="829" t="n"/>
      <c r="H80" s="830" t="n"/>
      <c r="I80" s="37" t="n">
        <v>966.38</v>
      </c>
      <c r="J80" s="37" t="n">
        <v>0</v>
      </c>
      <c r="K80" s="35">
        <f>IFERROR(I80+J80,0)</f>
        <v/>
      </c>
      <c r="U80" s="59" t="n"/>
      <c r="V80" s="59" t="n"/>
      <c r="W80" s="59" t="n"/>
      <c r="X80" s="59" t="n"/>
      <c r="Y80" s="59" t="n"/>
      <c r="Z80" s="59" t="n"/>
      <c r="AA80" s="59" t="n"/>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IF(C81="","",ROW()-2)</f>
        <v/>
      </c>
      <c r="B81" s="825" t="inlineStr"/>
      <c r="C81" s="826" t="inlineStr">
        <is>
          <t>TOH MH Site</t>
        </is>
      </c>
      <c r="D81" s="827" t="inlineStr">
        <is>
          <t>Occupied</t>
        </is>
      </c>
      <c r="E81" s="828" t="n"/>
      <c r="F81" s="829" t="inlineStr">
        <is>
          <t>Individual tenants (names not provided in extraction) 79</t>
        </is>
      </c>
      <c r="G81" s="829" t="n"/>
      <c r="H81" s="830" t="n"/>
      <c r="I81" s="37" t="n">
        <v>966.38</v>
      </c>
      <c r="J81" s="37" t="n">
        <v>0</v>
      </c>
      <c r="K81" s="35">
        <f>IFERROR(I81+J81,0)</f>
        <v/>
      </c>
      <c r="U81" s="59" t="n"/>
      <c r="V81" s="59" t="n"/>
      <c r="W81" s="59" t="n"/>
      <c r="X81" s="59" t="n"/>
      <c r="Y81" s="59" t="n"/>
      <c r="Z81" s="59" t="n"/>
      <c r="AA81" s="59" t="n"/>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IF(C82="","",ROW()-2)</f>
        <v/>
      </c>
      <c r="B82" s="825" t="inlineStr"/>
      <c r="C82" s="826" t="inlineStr">
        <is>
          <t>TOH MH Site</t>
        </is>
      </c>
      <c r="D82" s="827" t="inlineStr">
        <is>
          <t>Occupied</t>
        </is>
      </c>
      <c r="E82" s="828" t="n"/>
      <c r="F82" s="829" t="inlineStr">
        <is>
          <t>Individual tenants (names not provided in extraction) 80</t>
        </is>
      </c>
      <c r="G82" s="829" t="n"/>
      <c r="H82" s="830" t="n"/>
      <c r="I82" s="37" t="n">
        <v>966.38</v>
      </c>
      <c r="J82" s="37" t="n">
        <v>0</v>
      </c>
      <c r="K82" s="35">
        <f>IFERROR(I82+J82,0)</f>
        <v/>
      </c>
      <c r="U82" s="59" t="n"/>
      <c r="V82" s="59" t="n"/>
      <c r="W82" s="59" t="n"/>
      <c r="X82" s="59" t="n"/>
      <c r="Y82" s="59" t="n"/>
      <c r="Z82" s="59" t="n"/>
      <c r="AA82" s="59" t="n"/>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IF(C83="","",ROW()-2)</f>
        <v/>
      </c>
      <c r="B83" s="825" t="inlineStr"/>
      <c r="C83" s="826" t="inlineStr">
        <is>
          <t>TOH MH Site</t>
        </is>
      </c>
      <c r="D83" s="827" t="inlineStr">
        <is>
          <t>Occupied</t>
        </is>
      </c>
      <c r="E83" s="828" t="n"/>
      <c r="F83" s="829" t="inlineStr">
        <is>
          <t>Individual tenants (names not provided in extraction) 81</t>
        </is>
      </c>
      <c r="G83" s="829" t="n"/>
      <c r="H83" s="830" t="n"/>
      <c r="I83" s="37" t="n">
        <v>966.38</v>
      </c>
      <c r="J83" s="37" t="n">
        <v>0</v>
      </c>
      <c r="K83" s="35">
        <f>IFERROR(I83+J83,0)</f>
        <v/>
      </c>
      <c r="U83" s="59" t="n"/>
      <c r="V83" s="59" t="n"/>
      <c r="W83" s="59" t="n"/>
      <c r="X83" s="59" t="n"/>
      <c r="Y83" s="59" t="n"/>
      <c r="Z83" s="59" t="n"/>
      <c r="AA83" s="59" t="n"/>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IF(C84="","",ROW()-2)</f>
        <v/>
      </c>
      <c r="B84" s="825" t="inlineStr"/>
      <c r="C84" s="826" t="inlineStr">
        <is>
          <t>TOH MH Site</t>
        </is>
      </c>
      <c r="D84" s="827" t="inlineStr">
        <is>
          <t>Occupied</t>
        </is>
      </c>
      <c r="E84" s="828" t="n"/>
      <c r="F84" s="829" t="inlineStr">
        <is>
          <t>Individual tenants (names not provided in extraction) 82</t>
        </is>
      </c>
      <c r="G84" s="829" t="n"/>
      <c r="H84" s="830" t="n"/>
      <c r="I84" s="37" t="n">
        <v>966.38</v>
      </c>
      <c r="J84" s="37" t="n">
        <v>0</v>
      </c>
      <c r="K84" s="35">
        <f>IFERROR(I84+J84,0)</f>
        <v/>
      </c>
      <c r="U84" s="59" t="n"/>
      <c r="V84" s="59" t="n"/>
      <c r="W84" s="59" t="n"/>
      <c r="X84" s="59" t="n"/>
      <c r="Y84" s="59" t="n"/>
      <c r="Z84" s="59" t="n"/>
      <c r="AA84" s="59" t="n"/>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IF(C85="","",ROW()-2)</f>
        <v/>
      </c>
      <c r="B85" s="825" t="inlineStr"/>
      <c r="C85" s="826" t="inlineStr">
        <is>
          <t>TOH MH Site</t>
        </is>
      </c>
      <c r="D85" s="827" t="inlineStr">
        <is>
          <t>Occupied</t>
        </is>
      </c>
      <c r="E85" s="828" t="n"/>
      <c r="F85" s="829" t="inlineStr">
        <is>
          <t>Individual tenants (names not provided in extraction) 83</t>
        </is>
      </c>
      <c r="G85" s="829" t="n"/>
      <c r="H85" s="830" t="n"/>
      <c r="I85" s="37" t="n">
        <v>966.38</v>
      </c>
      <c r="J85" s="37" t="n">
        <v>0</v>
      </c>
      <c r="K85" s="35">
        <f>IFERROR(I85+J85,0)</f>
        <v/>
      </c>
      <c r="U85" s="59" t="n"/>
      <c r="V85" s="59" t="n"/>
      <c r="W85" s="59" t="n"/>
      <c r="X85" s="59" t="n"/>
      <c r="Y85" s="59" t="n"/>
      <c r="Z85" s="59" t="n"/>
      <c r="AA85" s="59" t="n"/>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IF(C86="","",ROW()-2)</f>
        <v/>
      </c>
      <c r="B86" s="825" t="inlineStr"/>
      <c r="C86" s="826" t="inlineStr">
        <is>
          <t>TOH MH Site</t>
        </is>
      </c>
      <c r="D86" s="827" t="inlineStr">
        <is>
          <t>Occupied</t>
        </is>
      </c>
      <c r="E86" s="828" t="n"/>
      <c r="F86" s="829" t="inlineStr">
        <is>
          <t>Individual tenants (names not provided in extraction) 84</t>
        </is>
      </c>
      <c r="G86" s="829" t="n"/>
      <c r="H86" s="830" t="n"/>
      <c r="I86" s="37" t="n">
        <v>966.38</v>
      </c>
      <c r="J86" s="37" t="n">
        <v>0</v>
      </c>
      <c r="K86" s="35">
        <f>IFERROR(I86+J86,0)</f>
        <v/>
      </c>
      <c r="U86" s="59" t="n"/>
      <c r="V86" s="59" t="n"/>
      <c r="W86" s="59" t="n"/>
      <c r="X86" s="59" t="n"/>
      <c r="Y86" s="59" t="n"/>
      <c r="Z86" s="59" t="n"/>
      <c r="AA86" s="59" t="n"/>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IF(C87="","",ROW()-2)</f>
        <v/>
      </c>
      <c r="B87" s="825" t="inlineStr"/>
      <c r="C87" s="826" t="inlineStr">
        <is>
          <t>TOH MH Site</t>
        </is>
      </c>
      <c r="D87" s="827" t="inlineStr">
        <is>
          <t>Occupied</t>
        </is>
      </c>
      <c r="E87" s="828" t="n"/>
      <c r="F87" s="829" t="inlineStr">
        <is>
          <t>Individual tenants (names not provided in extraction) 85</t>
        </is>
      </c>
      <c r="G87" s="829" t="n"/>
      <c r="H87" s="830" t="n"/>
      <c r="I87" s="37" t="n">
        <v>966.38</v>
      </c>
      <c r="J87" s="37" t="n">
        <v>0</v>
      </c>
      <c r="K87" s="35">
        <f>IFERROR(I87+J87,0)</f>
        <v/>
      </c>
      <c r="U87" s="59" t="n"/>
      <c r="V87" s="59" t="n"/>
      <c r="W87" s="59" t="n"/>
      <c r="X87" s="59" t="n"/>
      <c r="Y87" s="59" t="n"/>
      <c r="Z87" s="59" t="n"/>
      <c r="AA87" s="59" t="n"/>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IF(C88="","",ROW()-2)</f>
        <v/>
      </c>
      <c r="B88" s="825" t="inlineStr"/>
      <c r="C88" s="826" t="inlineStr">
        <is>
          <t>TOH MH Site</t>
        </is>
      </c>
      <c r="D88" s="827" t="inlineStr">
        <is>
          <t>Occupied</t>
        </is>
      </c>
      <c r="E88" s="828" t="n"/>
      <c r="F88" s="829" t="inlineStr">
        <is>
          <t>Individual tenants (names not provided in extraction) 86</t>
        </is>
      </c>
      <c r="G88" s="829" t="n"/>
      <c r="H88" s="830" t="n"/>
      <c r="I88" s="37" t="n">
        <v>966.38</v>
      </c>
      <c r="J88" s="37" t="n">
        <v>0</v>
      </c>
      <c r="K88" s="35">
        <f>IFERROR(I88+J88,0)</f>
        <v/>
      </c>
      <c r="U88" s="59" t="n"/>
      <c r="V88" s="59" t="n"/>
      <c r="W88" s="59" t="n"/>
      <c r="X88" s="59" t="n"/>
      <c r="Y88" s="59" t="n"/>
      <c r="Z88" s="59" t="n"/>
      <c r="AA88" s="59" t="n"/>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IF(C89="","",ROW()-2)</f>
        <v/>
      </c>
      <c r="B89" s="825" t="inlineStr"/>
      <c r="C89" s="826" t="inlineStr">
        <is>
          <t>TOH MH Site</t>
        </is>
      </c>
      <c r="D89" s="827" t="inlineStr">
        <is>
          <t>Occupied</t>
        </is>
      </c>
      <c r="E89" s="828" t="n"/>
      <c r="F89" s="829" t="inlineStr">
        <is>
          <t>Individual tenants (names not provided in extraction) 87</t>
        </is>
      </c>
      <c r="G89" s="829" t="n"/>
      <c r="H89" s="830" t="n"/>
      <c r="I89" s="37" t="n">
        <v>966.38</v>
      </c>
      <c r="J89" s="37" t="n">
        <v>0</v>
      </c>
      <c r="K89" s="35">
        <f>IFERROR(I89+J89,0)</f>
        <v/>
      </c>
      <c r="U89" s="59" t="n"/>
      <c r="V89" s="59" t="n"/>
      <c r="W89" s="59" t="n"/>
      <c r="X89" s="59" t="n"/>
      <c r="Y89" s="59" t="n"/>
      <c r="Z89" s="59" t="n"/>
      <c r="AA89" s="59" t="n"/>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IF(C90="","",ROW()-2)</f>
        <v/>
      </c>
      <c r="B90" s="825" t="inlineStr"/>
      <c r="C90" s="826" t="inlineStr">
        <is>
          <t>TOH MH Site</t>
        </is>
      </c>
      <c r="D90" s="827" t="inlineStr">
        <is>
          <t>Occupied</t>
        </is>
      </c>
      <c r="E90" s="828" t="n"/>
      <c r="F90" s="829" t="inlineStr">
        <is>
          <t>Individual tenants (names not provided in extraction) 88</t>
        </is>
      </c>
      <c r="G90" s="829" t="n"/>
      <c r="H90" s="830" t="n"/>
      <c r="I90" s="37" t="n">
        <v>966.38</v>
      </c>
      <c r="J90" s="37" t="n">
        <v>0</v>
      </c>
      <c r="K90" s="35">
        <f>IFERROR(I90+J90,0)</f>
        <v/>
      </c>
      <c r="U90" s="59" t="n"/>
      <c r="V90" s="59" t="n"/>
      <c r="W90" s="59" t="n"/>
      <c r="X90" s="59" t="n"/>
      <c r="Y90" s="59" t="n"/>
      <c r="Z90" s="59" t="n"/>
      <c r="AA90" s="59" t="n"/>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IF(C91="","",ROW()-2)</f>
        <v/>
      </c>
      <c r="B91" s="825" t="inlineStr"/>
      <c r="C91" s="826" t="inlineStr">
        <is>
          <t>TOH MH Site</t>
        </is>
      </c>
      <c r="D91" s="827" t="inlineStr">
        <is>
          <t>Occupied</t>
        </is>
      </c>
      <c r="E91" s="828" t="n"/>
      <c r="F91" s="829" t="inlineStr">
        <is>
          <t>Individual tenants (names not provided in extraction) 89</t>
        </is>
      </c>
      <c r="G91" s="829" t="n"/>
      <c r="H91" s="830" t="n"/>
      <c r="I91" s="37" t="n">
        <v>966.38</v>
      </c>
      <c r="J91" s="37" t="n">
        <v>0</v>
      </c>
      <c r="K91" s="35">
        <f>IFERROR(I91+J91,0)</f>
        <v/>
      </c>
      <c r="U91" s="59" t="n"/>
      <c r="V91" s="59" t="n"/>
      <c r="W91" s="59" t="n"/>
      <c r="X91" s="59" t="n"/>
      <c r="Y91" s="59" t="n"/>
      <c r="Z91" s="59" t="n"/>
      <c r="AA91" s="59" t="n"/>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IF(C92="","",ROW()-2)</f>
        <v/>
      </c>
      <c r="B92" s="825" t="inlineStr"/>
      <c r="C92" s="826" t="inlineStr">
        <is>
          <t>TOH MH Site</t>
        </is>
      </c>
      <c r="D92" s="827" t="inlineStr">
        <is>
          <t>Occupied</t>
        </is>
      </c>
      <c r="E92" s="828" t="n"/>
      <c r="F92" s="829" t="inlineStr">
        <is>
          <t>Individual tenants (names not provided in extraction) 90</t>
        </is>
      </c>
      <c r="G92" s="829" t="n"/>
      <c r="H92" s="830" t="n"/>
      <c r="I92" s="37" t="n">
        <v>966.38</v>
      </c>
      <c r="J92" s="37" t="n">
        <v>0</v>
      </c>
      <c r="K92" s="35">
        <f>IFERROR(I92+J92,0)</f>
        <v/>
      </c>
      <c r="U92" s="59" t="n"/>
      <c r="V92" s="59" t="n"/>
      <c r="W92" s="59" t="n"/>
      <c r="X92" s="59" t="n"/>
      <c r="Y92" s="59" t="n"/>
      <c r="Z92" s="59" t="n"/>
      <c r="AA92" s="59" t="n"/>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IF(C93="","",ROW()-2)</f>
        <v/>
      </c>
      <c r="B93" s="825" t="inlineStr"/>
      <c r="C93" s="826" t="inlineStr">
        <is>
          <t>TOH MH Site</t>
        </is>
      </c>
      <c r="D93" s="827" t="inlineStr">
        <is>
          <t>Occupied</t>
        </is>
      </c>
      <c r="E93" s="828" t="n"/>
      <c r="F93" s="829" t="inlineStr">
        <is>
          <t>Individual tenants (names not provided in extraction) 91</t>
        </is>
      </c>
      <c r="G93" s="829" t="n"/>
      <c r="H93" s="830" t="n"/>
      <c r="I93" s="37" t="n">
        <v>966.38</v>
      </c>
      <c r="J93" s="37" t="n">
        <v>0</v>
      </c>
      <c r="K93" s="35">
        <f>IFERROR(I93+J93,0)</f>
        <v/>
      </c>
      <c r="U93" s="59" t="n"/>
      <c r="V93" s="59" t="n"/>
      <c r="W93" s="59" t="n"/>
      <c r="X93" s="59" t="n"/>
      <c r="Y93" s="59" t="n"/>
      <c r="Z93" s="59" t="n"/>
      <c r="AA93" s="59" t="n"/>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IF(C94="","",ROW()-2)</f>
        <v/>
      </c>
      <c r="B94" s="825" t="inlineStr"/>
      <c r="C94" s="826" t="inlineStr">
        <is>
          <t>TOH MH Site</t>
        </is>
      </c>
      <c r="D94" s="827" t="inlineStr">
        <is>
          <t>Occupied</t>
        </is>
      </c>
      <c r="E94" s="828" t="n"/>
      <c r="F94" s="829" t="inlineStr">
        <is>
          <t>Individual tenants (names not provided in extraction) 92</t>
        </is>
      </c>
      <c r="G94" s="829" t="n"/>
      <c r="H94" s="830" t="n"/>
      <c r="I94" s="37" t="n">
        <v>966.38</v>
      </c>
      <c r="J94" s="37" t="n">
        <v>0</v>
      </c>
      <c r="K94" s="35">
        <f>IFERROR(I94+J94,0)</f>
        <v/>
      </c>
      <c r="U94" s="59" t="n"/>
      <c r="V94" s="59" t="n"/>
      <c r="W94" s="59" t="n"/>
      <c r="X94" s="59" t="n"/>
      <c r="Y94" s="59" t="n"/>
      <c r="Z94" s="59" t="n"/>
      <c r="AA94" s="59" t="n"/>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IF(C95="","",ROW()-2)</f>
        <v/>
      </c>
      <c r="B95" s="825" t="inlineStr"/>
      <c r="C95" s="826" t="inlineStr">
        <is>
          <t>TOH MH Site</t>
        </is>
      </c>
      <c r="D95" s="827" t="inlineStr">
        <is>
          <t>Occupied</t>
        </is>
      </c>
      <c r="E95" s="828" t="n"/>
      <c r="F95" s="829" t="inlineStr">
        <is>
          <t>Individual tenants (names not provided in extraction) 93</t>
        </is>
      </c>
      <c r="G95" s="829" t="n"/>
      <c r="H95" s="830" t="n"/>
      <c r="I95" s="37" t="n">
        <v>966.38</v>
      </c>
      <c r="J95" s="37" t="n">
        <v>0</v>
      </c>
      <c r="K95" s="35">
        <f>IFERROR(I95+J95,0)</f>
        <v/>
      </c>
      <c r="U95" s="59" t="n"/>
      <c r="V95" s="59" t="n"/>
      <c r="W95" s="59" t="n"/>
      <c r="X95" s="59" t="n"/>
      <c r="Y95" s="59" t="n"/>
      <c r="Z95" s="59" t="n"/>
      <c r="AA95" s="59" t="n"/>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IF(C96="","",ROW()-2)</f>
        <v/>
      </c>
      <c r="B96" s="825" t="inlineStr"/>
      <c r="C96" s="826" t="inlineStr">
        <is>
          <t>TOH MH Site</t>
        </is>
      </c>
      <c r="D96" s="827" t="inlineStr">
        <is>
          <t>Occupied</t>
        </is>
      </c>
      <c r="E96" s="828" t="n"/>
      <c r="F96" s="829" t="inlineStr">
        <is>
          <t>Individual tenants (names not provided in extraction) 94</t>
        </is>
      </c>
      <c r="G96" s="829" t="n"/>
      <c r="H96" s="830" t="n"/>
      <c r="I96" s="37" t="n">
        <v>966.38</v>
      </c>
      <c r="J96" s="37" t="n">
        <v>0</v>
      </c>
      <c r="K96" s="35">
        <f>IFERROR(I96+J96,0)</f>
        <v/>
      </c>
      <c r="U96" s="59" t="n"/>
      <c r="V96" s="59" t="n"/>
      <c r="W96" s="59" t="n"/>
      <c r="X96" s="59" t="n"/>
      <c r="Y96" s="59" t="n"/>
      <c r="Z96" s="59" t="n"/>
      <c r="AA96" s="59" t="n"/>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IF(C97="","",ROW()-2)</f>
        <v/>
      </c>
      <c r="B97" s="825" t="inlineStr"/>
      <c r="C97" s="826" t="inlineStr">
        <is>
          <t>TOH MH Site</t>
        </is>
      </c>
      <c r="D97" s="827" t="inlineStr">
        <is>
          <t>Occupied</t>
        </is>
      </c>
      <c r="E97" s="828" t="n"/>
      <c r="F97" s="829" t="inlineStr">
        <is>
          <t>Individual tenants (names not provided in extraction) 95</t>
        </is>
      </c>
      <c r="G97" s="829" t="n"/>
      <c r="H97" s="830" t="n"/>
      <c r="I97" s="37" t="n">
        <v>966.38</v>
      </c>
      <c r="J97" s="37" t="n">
        <v>0</v>
      </c>
      <c r="K97" s="35">
        <f>IFERROR(I97+J97,0)</f>
        <v/>
      </c>
      <c r="U97" s="59" t="n"/>
      <c r="V97" s="59" t="n"/>
      <c r="W97" s="59" t="n"/>
      <c r="X97" s="59" t="n"/>
      <c r="Y97" s="59" t="n"/>
      <c r="Z97" s="59" t="n"/>
      <c r="AA97" s="59" t="n"/>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IF(C98="","",ROW()-2)</f>
        <v/>
      </c>
      <c r="B98" s="825" t="inlineStr"/>
      <c r="C98" s="826" t="inlineStr">
        <is>
          <t>TOH MH Site</t>
        </is>
      </c>
      <c r="D98" s="827" t="inlineStr">
        <is>
          <t>Occupied</t>
        </is>
      </c>
      <c r="E98" s="828" t="n"/>
      <c r="F98" s="829" t="inlineStr">
        <is>
          <t>Individual tenants (names not provided in extraction) 96</t>
        </is>
      </c>
      <c r="G98" s="829" t="n"/>
      <c r="H98" s="830" t="n"/>
      <c r="I98" s="37" t="n">
        <v>966.38</v>
      </c>
      <c r="J98" s="37" t="n">
        <v>0</v>
      </c>
      <c r="K98" s="35">
        <f>IFERROR(I98+J98,0)</f>
        <v/>
      </c>
      <c r="U98" s="59" t="n"/>
      <c r="V98" s="59" t="n"/>
      <c r="W98" s="59" t="n"/>
      <c r="X98" s="59" t="n"/>
      <c r="Y98" s="59" t="n"/>
      <c r="Z98" s="59" t="n"/>
      <c r="AA98" s="59" t="n"/>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IF(C99="","",ROW()-2)</f>
        <v/>
      </c>
      <c r="B99" s="825" t="inlineStr"/>
      <c r="C99" s="826" t="inlineStr">
        <is>
          <t>TOH MH Site</t>
        </is>
      </c>
      <c r="D99" s="827" t="inlineStr">
        <is>
          <t>Occupied</t>
        </is>
      </c>
      <c r="E99" s="828" t="n"/>
      <c r="F99" s="829" t="inlineStr">
        <is>
          <t>Individual tenants (names not provided in extraction) 97</t>
        </is>
      </c>
      <c r="G99" s="829" t="n"/>
      <c r="H99" s="830" t="n"/>
      <c r="I99" s="37" t="n">
        <v>966.38</v>
      </c>
      <c r="J99" s="37" t="n">
        <v>0</v>
      </c>
      <c r="K99" s="35">
        <f>IFERROR(I99+J99,0)</f>
        <v/>
      </c>
      <c r="U99" s="59" t="n"/>
      <c r="V99" s="59" t="n"/>
      <c r="W99" s="59" t="n"/>
      <c r="X99" s="59" t="n"/>
      <c r="Y99" s="59" t="n"/>
      <c r="Z99" s="59" t="n"/>
      <c r="AA99" s="59" t="n"/>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IF(C100="","",ROW()-2)</f>
        <v/>
      </c>
      <c r="B100" s="825" t="inlineStr"/>
      <c r="C100" s="826" t="inlineStr">
        <is>
          <t>TOH MH Site</t>
        </is>
      </c>
      <c r="D100" s="827" t="inlineStr">
        <is>
          <t>Occupied</t>
        </is>
      </c>
      <c r="E100" s="828" t="n"/>
      <c r="F100" s="829" t="inlineStr">
        <is>
          <t>Individual tenants (names not provided in extraction) 98</t>
        </is>
      </c>
      <c r="G100" s="829" t="n"/>
      <c r="H100" s="830" t="n"/>
      <c r="I100" s="37" t="n">
        <v>966.38</v>
      </c>
      <c r="J100" s="37" t="n">
        <v>0</v>
      </c>
      <c r="K100" s="35">
        <f>IFERROR(I100+J100,0)</f>
        <v/>
      </c>
      <c r="U100" s="59" t="n"/>
      <c r="V100" s="59" t="n"/>
      <c r="W100" s="59" t="n"/>
      <c r="X100" s="59" t="n"/>
      <c r="Y100" s="59" t="n"/>
      <c r="Z100" s="59" t="n"/>
      <c r="AA100" s="59" t="n"/>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IF(C101="","",ROW()-2)</f>
        <v/>
      </c>
      <c r="B101" s="825" t="inlineStr"/>
      <c r="C101" s="826" t="inlineStr">
        <is>
          <t>TOH MH Site</t>
        </is>
      </c>
      <c r="D101" s="827" t="inlineStr">
        <is>
          <t>Occupied</t>
        </is>
      </c>
      <c r="E101" s="828" t="n"/>
      <c r="F101" s="829" t="inlineStr">
        <is>
          <t>Individual tenants (names not provided in extraction) 99</t>
        </is>
      </c>
      <c r="G101" s="829" t="n"/>
      <c r="H101" s="830" t="n"/>
      <c r="I101" s="37" t="n">
        <v>966.38</v>
      </c>
      <c r="J101" s="37" t="n">
        <v>0</v>
      </c>
      <c r="K101" s="35">
        <f>IFERROR(I101+J101,0)</f>
        <v/>
      </c>
      <c r="U101" s="59" t="n"/>
      <c r="V101" s="59" t="n"/>
      <c r="W101" s="59" t="n"/>
      <c r="X101" s="59" t="n"/>
      <c r="Y101" s="59" t="n"/>
      <c r="Z101" s="59" t="n"/>
      <c r="AA101" s="59" t="n"/>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IF(C102="","",ROW()-2)</f>
        <v/>
      </c>
      <c r="B102" s="825" t="inlineStr"/>
      <c r="C102" s="826" t="inlineStr">
        <is>
          <t>TOH MH Site</t>
        </is>
      </c>
      <c r="D102" s="827" t="inlineStr">
        <is>
          <t>Occupied</t>
        </is>
      </c>
      <c r="E102" s="828" t="n"/>
      <c r="F102" s="829" t="inlineStr">
        <is>
          <t>Individual tenants (names not provided in extraction) 100</t>
        </is>
      </c>
      <c r="G102" s="829" t="n"/>
      <c r="H102" s="830" t="n"/>
      <c r="I102" s="37" t="n">
        <v>966.38</v>
      </c>
      <c r="J102" s="37" t="n">
        <v>0</v>
      </c>
      <c r="K102" s="35">
        <f>IFERROR(I102+J102,0)</f>
        <v/>
      </c>
      <c r="U102" s="59" t="n"/>
      <c r="V102" s="59" t="n"/>
      <c r="W102" s="59" t="n"/>
      <c r="X102" s="59" t="n"/>
      <c r="Y102" s="59" t="n"/>
      <c r="Z102" s="59" t="n"/>
      <c r="AA102" s="59" t="n"/>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IF(C103="","",ROW()-2)</f>
        <v/>
      </c>
      <c r="B103" s="825" t="inlineStr"/>
      <c r="C103" s="826" t="inlineStr">
        <is>
          <t>TOH MH Site</t>
        </is>
      </c>
      <c r="D103" s="827" t="inlineStr">
        <is>
          <t>Occupied</t>
        </is>
      </c>
      <c r="E103" s="828" t="n"/>
      <c r="F103" s="829" t="inlineStr">
        <is>
          <t>Individual tenants (names not provided in extraction) 101</t>
        </is>
      </c>
      <c r="G103" s="829" t="n"/>
      <c r="H103" s="830" t="n"/>
      <c r="I103" s="37" t="n">
        <v>966.38</v>
      </c>
      <c r="J103" s="37" t="n">
        <v>0</v>
      </c>
      <c r="K103" s="35">
        <f>IFERROR(I103+J103,0)</f>
        <v/>
      </c>
      <c r="U103" s="59" t="n"/>
      <c r="V103" s="59"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IF(C104="","",ROW()-2)</f>
        <v/>
      </c>
      <c r="B104" s="825" t="inlineStr"/>
      <c r="C104" s="826" t="inlineStr">
        <is>
          <t>TOH MH Site</t>
        </is>
      </c>
      <c r="D104" s="827" t="inlineStr">
        <is>
          <t>Occupied</t>
        </is>
      </c>
      <c r="E104" s="828" t="n"/>
      <c r="F104" s="829" t="inlineStr">
        <is>
          <t>Individual tenants (names not provided in extraction) 102</t>
        </is>
      </c>
      <c r="G104" s="829" t="n"/>
      <c r="H104" s="830" t="n"/>
      <c r="I104" s="37" t="n">
        <v>966.38</v>
      </c>
      <c r="J104" s="37" t="n">
        <v>0</v>
      </c>
      <c r="K104" s="35">
        <f>IFERROR(I104+J104,0)</f>
        <v/>
      </c>
      <c r="U104" s="59" t="n"/>
      <c r="V104" s="59" t="n"/>
      <c r="W104" s="59" t="n"/>
      <c r="X104" s="59" t="n"/>
      <c r="Y104" s="59" t="n"/>
      <c r="Z104" s="59" t="n"/>
      <c r="AA104" s="59" t="n"/>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IF(C105="","",ROW()-2)</f>
        <v/>
      </c>
      <c r="B105" s="825" t="inlineStr"/>
      <c r="C105" s="826" t="inlineStr">
        <is>
          <t>TOH MH Site</t>
        </is>
      </c>
      <c r="D105" s="827" t="inlineStr">
        <is>
          <t>Occupied</t>
        </is>
      </c>
      <c r="E105" s="828" t="n"/>
      <c r="F105" s="829" t="inlineStr">
        <is>
          <t>Individual tenants (names not provided in extraction) 103</t>
        </is>
      </c>
      <c r="G105" s="829" t="n"/>
      <c r="H105" s="830" t="n"/>
      <c r="I105" s="37" t="n">
        <v>966.38</v>
      </c>
      <c r="J105" s="37" t="n">
        <v>0</v>
      </c>
      <c r="K105" s="35">
        <f>IFERROR(I105+J105,0)</f>
        <v/>
      </c>
      <c r="U105" s="59" t="n"/>
      <c r="V105" s="59" t="n"/>
      <c r="W105" s="59" t="n"/>
      <c r="X105" s="59" t="n"/>
      <c r="Y105" s="59" t="n"/>
      <c r="Z105" s="59" t="n"/>
      <c r="AA105" s="59" t="n"/>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IF(C106="","",ROW()-2)</f>
        <v/>
      </c>
      <c r="B106" s="825" t="inlineStr"/>
      <c r="C106" s="826" t="inlineStr">
        <is>
          <t>TOH MH Site</t>
        </is>
      </c>
      <c r="D106" s="827" t="inlineStr">
        <is>
          <t>Occupied</t>
        </is>
      </c>
      <c r="E106" s="828" t="n"/>
      <c r="F106" s="829" t="inlineStr">
        <is>
          <t>Individual tenants (names not provided in extraction) 104</t>
        </is>
      </c>
      <c r="G106" s="829" t="n"/>
      <c r="H106" s="830" t="n"/>
      <c r="I106" s="37" t="n">
        <v>966.38</v>
      </c>
      <c r="J106" s="37" t="n">
        <v>0</v>
      </c>
      <c r="K106" s="35">
        <f>IFERROR(I106+J106,0)</f>
        <v/>
      </c>
      <c r="U106" s="59" t="n"/>
      <c r="V106" s="59" t="n"/>
      <c r="W106" s="59" t="n"/>
      <c r="X106" s="59" t="n"/>
      <c r="Y106" s="59" t="n"/>
      <c r="Z106" s="59" t="n"/>
      <c r="AA106" s="59" t="n"/>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IF(C107="","",ROW()-2)</f>
        <v/>
      </c>
      <c r="B107" s="825" t="inlineStr"/>
      <c r="C107" s="826" t="inlineStr">
        <is>
          <t>TOH MH Site</t>
        </is>
      </c>
      <c r="D107" s="827" t="inlineStr">
        <is>
          <t>Occupied</t>
        </is>
      </c>
      <c r="E107" s="828" t="n"/>
      <c r="F107" s="829" t="inlineStr">
        <is>
          <t>Individual tenants (names not provided in extraction) 105</t>
        </is>
      </c>
      <c r="G107" s="829" t="n"/>
      <c r="H107" s="830" t="n"/>
      <c r="I107" s="37" t="n">
        <v>966.38</v>
      </c>
      <c r="J107" s="37" t="n">
        <v>0</v>
      </c>
      <c r="K107" s="35">
        <f>IFERROR(I107+J107,0)</f>
        <v/>
      </c>
      <c r="U107" s="59" t="n"/>
      <c r="V107" s="59"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IF(C108="","",ROW()-2)</f>
        <v/>
      </c>
      <c r="B108" s="825" t="inlineStr"/>
      <c r="C108" s="826" t="inlineStr">
        <is>
          <t>TOH MH Site</t>
        </is>
      </c>
      <c r="D108" s="827" t="inlineStr">
        <is>
          <t>Vacant</t>
        </is>
      </c>
      <c r="E108" s="828" t="n"/>
      <c r="F108" s="829" t="inlineStr"/>
      <c r="G108" s="829" t="n"/>
      <c r="H108" s="830" t="n"/>
      <c r="I108" s="37" t="n">
        <v>0</v>
      </c>
      <c r="J108" s="37" t="n">
        <v>0</v>
      </c>
      <c r="K108" s="35">
        <f>IFERROR(I108+J108,0)</f>
        <v/>
      </c>
      <c r="U108" s="59" t="n"/>
      <c r="V108" s="59" t="n"/>
      <c r="W108" s="59" t="n"/>
      <c r="X108" s="59" t="n"/>
      <c r="Y108" s="59" t="n"/>
      <c r="Z108" s="59" t="n"/>
      <c r="AA108" s="59" t="n"/>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IF(C109="","",ROW()-2)</f>
        <v/>
      </c>
      <c r="B109" s="825" t="inlineStr"/>
      <c r="C109" s="826" t="inlineStr">
        <is>
          <t>TOH MH Site</t>
        </is>
      </c>
      <c r="D109" s="827" t="inlineStr">
        <is>
          <t>Vacant</t>
        </is>
      </c>
      <c r="E109" s="828" t="n"/>
      <c r="F109" s="829" t="inlineStr"/>
      <c r="G109" s="829" t="n"/>
      <c r="H109" s="830" t="n"/>
      <c r="I109" s="37" t="n">
        <v>0</v>
      </c>
      <c r="J109" s="37" t="n">
        <v>0</v>
      </c>
      <c r="K109" s="35">
        <f>IFERROR(I109+J109,0)</f>
        <v/>
      </c>
      <c r="U109" s="59" t="n"/>
      <c r="V109" s="59"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IF(C110="","",ROW()-2)</f>
        <v/>
      </c>
      <c r="B110" s="825" t="inlineStr"/>
      <c r="C110" s="826" t="inlineStr">
        <is>
          <t>Long term RV Site</t>
        </is>
      </c>
      <c r="D110" s="827" t="inlineStr">
        <is>
          <t>Occupied</t>
        </is>
      </c>
      <c r="E110" s="828" t="n"/>
      <c r="F110" s="829" t="inlineStr">
        <is>
          <t>Long-term RV tenants 108</t>
        </is>
      </c>
      <c r="G110" s="829" t="n"/>
      <c r="H110" s="830" t="n"/>
      <c r="I110" s="37" t="n">
        <v>738.83</v>
      </c>
      <c r="J110" s="37" t="n">
        <v>0</v>
      </c>
      <c r="K110" s="35">
        <f>IFERROR(I110+J110,0)</f>
        <v/>
      </c>
      <c r="U110" s="59" t="n"/>
      <c r="V110" s="59" t="n"/>
      <c r="W110" s="59" t="n"/>
      <c r="X110" s="59" t="n"/>
      <c r="Y110" s="59" t="n"/>
      <c r="Z110" s="59" t="n"/>
      <c r="AA110" s="59" t="n"/>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IF(C111="","",ROW()-2)</f>
        <v/>
      </c>
      <c r="B111" s="825" t="inlineStr"/>
      <c r="C111" s="826" t="inlineStr">
        <is>
          <t>Long term RV Site</t>
        </is>
      </c>
      <c r="D111" s="827" t="inlineStr">
        <is>
          <t>Occupied</t>
        </is>
      </c>
      <c r="E111" s="828" t="n"/>
      <c r="F111" s="829" t="inlineStr">
        <is>
          <t>Long-term RV tenants 109</t>
        </is>
      </c>
      <c r="G111" s="829" t="n"/>
      <c r="H111" s="830" t="n"/>
      <c r="I111" s="37" t="n">
        <v>738.83</v>
      </c>
      <c r="J111" s="37" t="n">
        <v>0</v>
      </c>
      <c r="K111" s="35">
        <f>IFERROR(I111+J111,0)</f>
        <v/>
      </c>
      <c r="U111" s="59" t="n"/>
      <c r="V111" s="59" t="n"/>
      <c r="W111" s="59" t="n"/>
      <c r="X111" s="59" t="n"/>
      <c r="Y111" s="59" t="n"/>
      <c r="Z111" s="59" t="n"/>
      <c r="AA111" s="59" t="n"/>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IF(C112="","",ROW()-2)</f>
        <v/>
      </c>
      <c r="B112" s="825" t="inlineStr"/>
      <c r="C112" s="826" t="inlineStr">
        <is>
          <t>Long term RV Site</t>
        </is>
      </c>
      <c r="D112" s="827" t="inlineStr">
        <is>
          <t>Occupied</t>
        </is>
      </c>
      <c r="E112" s="828" t="n"/>
      <c r="F112" s="829" t="inlineStr">
        <is>
          <t>Long-term RV tenants 110</t>
        </is>
      </c>
      <c r="G112" s="829" t="n"/>
      <c r="H112" s="830" t="n"/>
      <c r="I112" s="37" t="n">
        <v>738.83</v>
      </c>
      <c r="J112" s="37" t="n">
        <v>0</v>
      </c>
      <c r="K112" s="35">
        <f>IFERROR(I112+J112,0)</f>
        <v/>
      </c>
      <c r="U112" s="59" t="n"/>
      <c r="V112" s="59" t="n"/>
      <c r="W112" s="59" t="n"/>
      <c r="X112" s="59" t="n"/>
      <c r="Y112" s="59" t="n"/>
      <c r="Z112" s="59" t="n"/>
      <c r="AA112" s="59" t="n"/>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IF(C113="","",ROW()-2)</f>
        <v/>
      </c>
      <c r="B113" s="825" t="inlineStr"/>
      <c r="C113" s="826" t="inlineStr">
        <is>
          <t>Long term RV Site</t>
        </is>
      </c>
      <c r="D113" s="827" t="inlineStr">
        <is>
          <t>Occupied</t>
        </is>
      </c>
      <c r="E113" s="828" t="n"/>
      <c r="F113" s="829" t="inlineStr">
        <is>
          <t>Long-term RV tenants 111</t>
        </is>
      </c>
      <c r="G113" s="829" t="n"/>
      <c r="H113" s="830" t="n"/>
      <c r="I113" s="37" t="n">
        <v>738.83</v>
      </c>
      <c r="J113" s="37" t="n">
        <v>0</v>
      </c>
      <c r="K113" s="35">
        <f>IFERROR(I113+J113,0)</f>
        <v/>
      </c>
      <c r="U113" s="59" t="n"/>
      <c r="V113" s="59" t="n"/>
      <c r="W113" s="59" t="n"/>
      <c r="X113" s="59" t="n"/>
      <c r="Y113" s="59" t="n"/>
      <c r="Z113" s="59" t="n"/>
      <c r="AA113" s="59" t="n"/>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IF(C114="","",ROW()-2)</f>
        <v/>
      </c>
      <c r="B114" s="825" t="inlineStr"/>
      <c r="C114" s="826" t="inlineStr">
        <is>
          <t>Long term RV Site</t>
        </is>
      </c>
      <c r="D114" s="827" t="inlineStr">
        <is>
          <t>Occupied</t>
        </is>
      </c>
      <c r="E114" s="828" t="n"/>
      <c r="F114" s="829" t="inlineStr">
        <is>
          <t>Long-term RV tenants 112</t>
        </is>
      </c>
      <c r="G114" s="829" t="n"/>
      <c r="H114" s="830" t="n"/>
      <c r="I114" s="37" t="n">
        <v>738.83</v>
      </c>
      <c r="J114" s="37" t="n">
        <v>0</v>
      </c>
      <c r="K114" s="35">
        <f>IFERROR(I114+J114,0)</f>
        <v/>
      </c>
      <c r="U114" s="59" t="n"/>
      <c r="V114" s="59" t="n"/>
      <c r="W114" s="59" t="n"/>
      <c r="X114" s="59" t="n"/>
      <c r="Y114" s="59" t="n"/>
      <c r="Z114" s="59" t="n"/>
      <c r="AA114" s="59" t="n"/>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IF(C115="","",ROW()-2)</f>
        <v/>
      </c>
      <c r="B115" s="825" t="inlineStr"/>
      <c r="C115" s="826" t="inlineStr">
        <is>
          <t>Long term RV Site</t>
        </is>
      </c>
      <c r="D115" s="827" t="inlineStr">
        <is>
          <t>Occupied</t>
        </is>
      </c>
      <c r="E115" s="828" t="n"/>
      <c r="F115" s="829" t="inlineStr">
        <is>
          <t>Long-term RV tenants 113</t>
        </is>
      </c>
      <c r="G115" s="829" t="n"/>
      <c r="H115" s="830" t="n"/>
      <c r="I115" s="37" t="n">
        <v>738.83</v>
      </c>
      <c r="J115" s="37" t="n">
        <v>0</v>
      </c>
      <c r="K115" s="35">
        <f>IFERROR(I115+J115,0)</f>
        <v/>
      </c>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IF(C116="","",ROW()-2)</f>
        <v/>
      </c>
      <c r="B116" s="825" t="inlineStr"/>
      <c r="C116" s="826" t="inlineStr">
        <is>
          <t>Long term RV Site</t>
        </is>
      </c>
      <c r="D116" s="827" t="inlineStr">
        <is>
          <t>Occupied</t>
        </is>
      </c>
      <c r="E116" s="828" t="n"/>
      <c r="F116" s="829" t="inlineStr">
        <is>
          <t>Long-term RV tenants 114</t>
        </is>
      </c>
      <c r="G116" s="829" t="n"/>
      <c r="H116" s="830" t="n"/>
      <c r="I116" s="37" t="n">
        <v>738.83</v>
      </c>
      <c r="J116" s="37" t="n">
        <v>0</v>
      </c>
      <c r="K116" s="35">
        <f>IFERROR(I116+J116,0)</f>
        <v/>
      </c>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IF(C117="","",ROW()-2)</f>
        <v/>
      </c>
      <c r="B117" s="825" t="inlineStr"/>
      <c r="C117" s="826" t="inlineStr">
        <is>
          <t>Long term RV Site</t>
        </is>
      </c>
      <c r="D117" s="827" t="inlineStr">
        <is>
          <t>Occupied</t>
        </is>
      </c>
      <c r="E117" s="828" t="n"/>
      <c r="F117" s="829" t="inlineStr">
        <is>
          <t>Long-term RV tenants 115</t>
        </is>
      </c>
      <c r="G117" s="829" t="n"/>
      <c r="H117" s="830" t="n"/>
      <c r="I117" s="37" t="n">
        <v>738.83</v>
      </c>
      <c r="J117" s="37" t="n">
        <v>0</v>
      </c>
      <c r="K117" s="35">
        <f>IFERROR(I117+J117,0)</f>
        <v/>
      </c>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IF(C118="","",ROW()-2)</f>
        <v/>
      </c>
      <c r="B118" s="825" t="inlineStr"/>
      <c r="C118" s="826" t="inlineStr">
        <is>
          <t>Long term RV Site</t>
        </is>
      </c>
      <c r="D118" s="827" t="inlineStr">
        <is>
          <t>Occupied</t>
        </is>
      </c>
      <c r="E118" s="828" t="n"/>
      <c r="F118" s="829" t="inlineStr">
        <is>
          <t>Long-term RV tenants 116</t>
        </is>
      </c>
      <c r="G118" s="829" t="n"/>
      <c r="H118" s="830" t="n"/>
      <c r="I118" s="37" t="n">
        <v>738.83</v>
      </c>
      <c r="J118" s="37" t="n">
        <v>0</v>
      </c>
      <c r="K118" s="35">
        <f>IFERROR(I118+J118,0)</f>
        <v/>
      </c>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IF(C119="","",ROW()-2)</f>
        <v/>
      </c>
      <c r="B119" s="825" t="inlineStr"/>
      <c r="C119" s="826" t="inlineStr">
        <is>
          <t>Long term RV Site</t>
        </is>
      </c>
      <c r="D119" s="827" t="inlineStr">
        <is>
          <t>Occupied</t>
        </is>
      </c>
      <c r="E119" s="828" t="n"/>
      <c r="F119" s="829" t="inlineStr">
        <is>
          <t>Long-term RV tenants 117</t>
        </is>
      </c>
      <c r="G119" s="829" t="n"/>
      <c r="H119" s="830" t="n"/>
      <c r="I119" s="37" t="n">
        <v>738.83</v>
      </c>
      <c r="J119" s="37" t="n">
        <v>0</v>
      </c>
      <c r="K119" s="35">
        <f>IFERROR(I119+J119,0)</f>
        <v/>
      </c>
      <c r="U119" s="59" t="n"/>
      <c r="V119" s="59" t="n"/>
      <c r="W119" s="59" t="n"/>
      <c r="X119" s="59" t="n"/>
      <c r="Y119" s="59" t="n"/>
      <c r="Z119" s="59" t="n"/>
      <c r="AA119" s="59" t="n"/>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IF(C120="","",ROW()-2)</f>
        <v/>
      </c>
      <c r="B120" s="825" t="inlineStr"/>
      <c r="C120" s="826" t="inlineStr">
        <is>
          <t>Long term RV Site</t>
        </is>
      </c>
      <c r="D120" s="827" t="inlineStr">
        <is>
          <t>Occupied</t>
        </is>
      </c>
      <c r="E120" s="828" t="n"/>
      <c r="F120" s="829" t="inlineStr">
        <is>
          <t>Long-term RV tenants 118</t>
        </is>
      </c>
      <c r="G120" s="829" t="n"/>
      <c r="H120" s="830" t="n"/>
      <c r="I120" s="37" t="n">
        <v>738.83</v>
      </c>
      <c r="J120" s="37" t="n">
        <v>0</v>
      </c>
      <c r="K120" s="35">
        <f>IFERROR(I120+J120,0)</f>
        <v/>
      </c>
      <c r="U120" s="59" t="n"/>
      <c r="V120" s="59" t="n"/>
      <c r="W120" s="59" t="n"/>
      <c r="X120" s="59" t="n"/>
      <c r="Y120" s="59" t="n"/>
      <c r="Z120" s="59" t="n"/>
      <c r="AA120" s="59" t="n"/>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IF(C121="","",ROW()-2)</f>
        <v/>
      </c>
      <c r="B121" s="825" t="inlineStr"/>
      <c r="C121" s="826" t="inlineStr">
        <is>
          <t>Long term RV Site</t>
        </is>
      </c>
      <c r="D121" s="827" t="inlineStr">
        <is>
          <t>Occupied</t>
        </is>
      </c>
      <c r="E121" s="828" t="n"/>
      <c r="F121" s="829" t="inlineStr">
        <is>
          <t>Long-term RV tenants 119</t>
        </is>
      </c>
      <c r="G121" s="829" t="n"/>
      <c r="H121" s="830" t="n"/>
      <c r="I121" s="37" t="n">
        <v>738.83</v>
      </c>
      <c r="J121" s="37" t="n">
        <v>0</v>
      </c>
      <c r="K121" s="35">
        <f>IFERROR(I121+J121,0)</f>
        <v/>
      </c>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IF(C122="","",ROW()-2)</f>
        <v/>
      </c>
      <c r="B122" s="825" t="inlineStr"/>
      <c r="C122" s="826" t="inlineStr">
        <is>
          <t>Long term RV Site</t>
        </is>
      </c>
      <c r="D122" s="827" t="inlineStr">
        <is>
          <t>Occupied</t>
        </is>
      </c>
      <c r="E122" s="828" t="n"/>
      <c r="F122" s="829" t="inlineStr">
        <is>
          <t>Long-term RV tenants 120</t>
        </is>
      </c>
      <c r="G122" s="829" t="n"/>
      <c r="H122" s="830" t="n"/>
      <c r="I122" s="37" t="n">
        <v>738.83</v>
      </c>
      <c r="J122" s="37" t="n">
        <v>0</v>
      </c>
      <c r="K122" s="35">
        <f>IFERROR(I122+J122,0)</f>
        <v/>
      </c>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IF(C123="","",ROW()-2)</f>
        <v/>
      </c>
      <c r="B123" s="825" t="inlineStr"/>
      <c r="C123" s="826" t="inlineStr">
        <is>
          <t>Long term RV Site</t>
        </is>
      </c>
      <c r="D123" s="827" t="inlineStr">
        <is>
          <t>Occupied</t>
        </is>
      </c>
      <c r="E123" s="828" t="n"/>
      <c r="F123" s="829" t="inlineStr">
        <is>
          <t>Long-term RV tenants 121</t>
        </is>
      </c>
      <c r="G123" s="829" t="n"/>
      <c r="H123" s="830" t="n"/>
      <c r="I123" s="37" t="n">
        <v>738.83</v>
      </c>
      <c r="J123" s="37" t="n">
        <v>0</v>
      </c>
      <c r="K123" s="35">
        <f>IFERROR(I123+J123,0)</f>
        <v/>
      </c>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IF(C124="","",ROW()-2)</f>
        <v/>
      </c>
      <c r="B124" s="825" t="inlineStr"/>
      <c r="C124" s="826" t="inlineStr">
        <is>
          <t>Long term RV Site</t>
        </is>
      </c>
      <c r="D124" s="827" t="inlineStr">
        <is>
          <t>Occupied</t>
        </is>
      </c>
      <c r="E124" s="828" t="n"/>
      <c r="F124" s="829" t="inlineStr">
        <is>
          <t>Long-term RV tenants 122</t>
        </is>
      </c>
      <c r="G124" s="829" t="n"/>
      <c r="H124" s="830" t="n"/>
      <c r="I124" s="37" t="n">
        <v>738.83</v>
      </c>
      <c r="J124" s="37" t="n">
        <v>0</v>
      </c>
      <c r="K124" s="35">
        <f>IFERROR(I124+J124,0)</f>
        <v/>
      </c>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IF(C125="","",ROW()-2)</f>
        <v/>
      </c>
      <c r="B125" s="825" t="inlineStr"/>
      <c r="C125" s="826" t="inlineStr">
        <is>
          <t>Long term RV Site</t>
        </is>
      </c>
      <c r="D125" s="827" t="inlineStr">
        <is>
          <t>Occupied</t>
        </is>
      </c>
      <c r="E125" s="828" t="n"/>
      <c r="F125" s="829" t="inlineStr">
        <is>
          <t>Long-term RV tenants 123</t>
        </is>
      </c>
      <c r="G125" s="829" t="n"/>
      <c r="H125" s="830" t="n"/>
      <c r="I125" s="37" t="n">
        <v>738.83</v>
      </c>
      <c r="J125" s="37" t="n">
        <v>0</v>
      </c>
      <c r="K125" s="35">
        <f>IFERROR(I125+J125,0)</f>
        <v/>
      </c>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IF(C126="","",ROW()-2)</f>
        <v/>
      </c>
      <c r="B126" s="825" t="inlineStr"/>
      <c r="C126" s="826" t="inlineStr">
        <is>
          <t>Long term RV Site</t>
        </is>
      </c>
      <c r="D126" s="827" t="inlineStr">
        <is>
          <t>Occupied</t>
        </is>
      </c>
      <c r="E126" s="828" t="n"/>
      <c r="F126" s="829" t="inlineStr">
        <is>
          <t>Long-term RV tenants 124</t>
        </is>
      </c>
      <c r="G126" s="829" t="n"/>
      <c r="H126" s="830" t="n"/>
      <c r="I126" s="37" t="n">
        <v>738.83</v>
      </c>
      <c r="J126" s="37" t="n">
        <v>0</v>
      </c>
      <c r="K126" s="35">
        <f>IFERROR(I126+J126,0)</f>
        <v/>
      </c>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IF(C127="","",ROW()-2)</f>
        <v/>
      </c>
      <c r="B127" s="825" t="inlineStr"/>
      <c r="C127" s="826" t="inlineStr">
        <is>
          <t>Long term RV Site</t>
        </is>
      </c>
      <c r="D127" s="827" t="inlineStr">
        <is>
          <t>Occupied</t>
        </is>
      </c>
      <c r="E127" s="828" t="n"/>
      <c r="F127" s="829" t="inlineStr">
        <is>
          <t>Long-term RV tenants 125</t>
        </is>
      </c>
      <c r="G127" s="829" t="n"/>
      <c r="H127" s="830" t="n"/>
      <c r="I127" s="37" t="n">
        <v>738.83</v>
      </c>
      <c r="J127" s="37" t="n">
        <v>0</v>
      </c>
      <c r="K127" s="35">
        <f>IFERROR(I127+J127,0)</f>
        <v/>
      </c>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IF(C128="","",ROW()-2)</f>
        <v/>
      </c>
      <c r="B128" s="825" t="inlineStr"/>
      <c r="C128" s="826" t="inlineStr">
        <is>
          <t>Retail/Commercial</t>
        </is>
      </c>
      <c r="D128" s="827" t="inlineStr">
        <is>
          <t>Occupied</t>
        </is>
      </c>
      <c r="E128" s="828" t="n"/>
      <c r="F128" s="829" t="inlineStr">
        <is>
          <t>1 Commercial Space ($1,200) + 1 Storage ($75) 126</t>
        </is>
      </c>
      <c r="G128" s="829" t="n"/>
      <c r="H128" s="830" t="n"/>
      <c r="I128" s="37" t="n">
        <v>637.5</v>
      </c>
      <c r="J128" s="37" t="n">
        <v>0</v>
      </c>
      <c r="K128" s="35">
        <f>IFERROR(I128+J128,0)</f>
        <v/>
      </c>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IF(C129="","",ROW()-2)</f>
        <v/>
      </c>
      <c r="B129" s="825" t="inlineStr"/>
      <c r="C129" s="826" t="inlineStr">
        <is>
          <t>Retail/Commercial</t>
        </is>
      </c>
      <c r="D129" s="827" t="inlineStr">
        <is>
          <t>Occupied</t>
        </is>
      </c>
      <c r="E129" s="828" t="n"/>
      <c r="F129" s="829" t="inlineStr">
        <is>
          <t>1 Commercial Space ($1,200) + 1 Storage ($75) 127</t>
        </is>
      </c>
      <c r="G129" s="829" t="n"/>
      <c r="H129" s="830" t="n"/>
      <c r="I129" s="37" t="n">
        <v>637.5</v>
      </c>
      <c r="J129" s="37" t="n">
        <v>0</v>
      </c>
      <c r="K129" s="35">
        <f>IFERROR(I129+J129,0)</f>
        <v/>
      </c>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IF(C130="","",ROW()-2)</f>
        <v/>
      </c>
      <c r="B130" s="825" t="n"/>
      <c r="C130" s="826" t="n"/>
      <c r="D130" s="827" t="n"/>
      <c r="E130" s="828" t="n"/>
      <c r="F130" s="829" t="n"/>
      <c r="G130" s="829" t="n"/>
      <c r="H130" s="830" t="n"/>
      <c r="I130" s="37" t="n"/>
      <c r="J130" s="37" t="n"/>
      <c r="K130" s="35">
        <f>IFERROR(I130+J130,0)</f>
        <v/>
      </c>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IF(C131="","",ROW()-2)</f>
        <v/>
      </c>
      <c r="B131" s="825" t="n"/>
      <c r="C131" s="826" t="n"/>
      <c r="D131" s="827" t="n"/>
      <c r="E131" s="828" t="n"/>
      <c r="F131" s="829" t="n"/>
      <c r="G131" s="829" t="n"/>
      <c r="H131" s="830" t="n"/>
      <c r="I131" s="37" t="n"/>
      <c r="J131" s="37" t="n"/>
      <c r="K131" s="35">
        <f>IFERROR(I131+J131,0)</f>
        <v/>
      </c>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IF(C132="","",ROW()-2)</f>
        <v/>
      </c>
      <c r="B132" s="825" t="n"/>
      <c r="C132" s="826" t="n"/>
      <c r="D132" s="827" t="n"/>
      <c r="E132" s="828" t="n"/>
      <c r="F132" s="829" t="n"/>
      <c r="G132" s="829" t="n"/>
      <c r="H132" s="830" t="n"/>
      <c r="I132" s="37" t="n"/>
      <c r="J132" s="37" t="n"/>
      <c r="K132" s="35">
        <f>IFERROR(I132+J132,0)</f>
        <v/>
      </c>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IF(C133="","",ROW()-2)</f>
        <v/>
      </c>
      <c r="B133" s="825" t="n"/>
      <c r="C133" s="826" t="n"/>
      <c r="D133" s="827" t="n"/>
      <c r="E133" s="828" t="n"/>
      <c r="F133" s="829" t="n"/>
      <c r="G133" s="829" t="n"/>
      <c r="H133" s="830" t="n"/>
      <c r="I133" s="37" t="n"/>
      <c r="J133" s="37" t="n"/>
      <c r="K133" s="35">
        <f>IFERROR(I133+J133,0)</f>
        <v/>
      </c>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IF(C134="","",ROW()-2)</f>
        <v/>
      </c>
      <c r="B134" s="825" t="n"/>
      <c r="C134" s="826" t="n"/>
      <c r="D134" s="827" t="n"/>
      <c r="E134" s="828" t="n"/>
      <c r="F134" s="829" t="n"/>
      <c r="G134" s="829" t="n"/>
      <c r="H134" s="830" t="n"/>
      <c r="I134" s="37" t="n"/>
      <c r="J134" s="37" t="n"/>
      <c r="K134" s="35">
        <f>IFERROR(I134+J134,0)</f>
        <v/>
      </c>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IF(C135="","",ROW()-2)</f>
        <v/>
      </c>
      <c r="B135" s="825" t="n"/>
      <c r="C135" s="826" t="n"/>
      <c r="D135" s="827" t="n"/>
      <c r="E135" s="828" t="n"/>
      <c r="F135" s="829" t="n"/>
      <c r="G135" s="829" t="n"/>
      <c r="H135" s="830" t="n"/>
      <c r="I135" s="37" t="n"/>
      <c r="J135" s="37" t="n"/>
      <c r="K135" s="35">
        <f>IFERROR(I135+J135,0)</f>
        <v/>
      </c>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IF(C136="","",ROW()-2)</f>
        <v/>
      </c>
      <c r="B136" s="825" t="n"/>
      <c r="C136" s="826" t="n"/>
      <c r="D136" s="827" t="n"/>
      <c r="E136" s="828" t="n"/>
      <c r="F136" s="829" t="n"/>
      <c r="G136" s="829" t="n"/>
      <c r="H136" s="830" t="n"/>
      <c r="I136" s="37" t="n"/>
      <c r="J136" s="37" t="n"/>
      <c r="K136" s="35">
        <f>IFERROR(I136+J136,0)</f>
        <v/>
      </c>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IF(C137="","",ROW()-2)</f>
        <v/>
      </c>
      <c r="B137" s="825" t="n"/>
      <c r="C137" s="826" t="n"/>
      <c r="D137" s="827" t="n"/>
      <c r="E137" s="828" t="n"/>
      <c r="F137" s="829" t="n"/>
      <c r="G137" s="829" t="n"/>
      <c r="H137" s="830" t="n"/>
      <c r="I137" s="37" t="n"/>
      <c r="J137" s="37" t="n"/>
      <c r="K137" s="35">
        <f>IFERROR(I137+J137,0)</f>
        <v/>
      </c>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IF(C138="","",ROW()-2)</f>
        <v/>
      </c>
      <c r="B138" s="825" t="n"/>
      <c r="C138" s="826" t="n"/>
      <c r="D138" s="827" t="n"/>
      <c r="E138" s="828" t="n"/>
      <c r="F138" s="829" t="n"/>
      <c r="G138" s="829" t="n"/>
      <c r="H138" s="830" t="n"/>
      <c r="I138" s="37" t="n"/>
      <c r="J138" s="37" t="n"/>
      <c r="K138" s="35">
        <f>IFERROR(I138+J138,0)</f>
        <v/>
      </c>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IF(C139="","",ROW()-2)</f>
        <v/>
      </c>
      <c r="B139" s="825" t="n"/>
      <c r="C139" s="826" t="n"/>
      <c r="D139" s="827" t="n"/>
      <c r="E139" s="828" t="n"/>
      <c r="F139" s="829" t="n"/>
      <c r="G139" s="829" t="n"/>
      <c r="H139" s="830" t="n"/>
      <c r="I139" s="37" t="n"/>
      <c r="J139" s="37" t="n"/>
      <c r="K139" s="35">
        <f>IFERROR(I139+J139,0)</f>
        <v/>
      </c>
      <c r="U139" s="59" t="n"/>
      <c r="V139" s="59" t="n"/>
      <c r="W139" s="59" t="n"/>
      <c r="X139" s="59" t="n"/>
      <c r="Y139" s="59" t="n"/>
      <c r="Z139" s="59" t="n"/>
      <c r="AA139" s="59" t="n"/>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IF(C140="","",ROW()-2)</f>
        <v/>
      </c>
      <c r="B140" s="825" t="n"/>
      <c r="C140" s="826" t="n"/>
      <c r="D140" s="827" t="n"/>
      <c r="E140" s="828" t="n"/>
      <c r="F140" s="829" t="n"/>
      <c r="G140" s="829" t="n"/>
      <c r="H140" s="830" t="n"/>
      <c r="I140" s="37" t="n"/>
      <c r="J140" s="37" t="n"/>
      <c r="K140" s="35">
        <f>IFERROR(I140+J140,0)</f>
        <v/>
      </c>
      <c r="U140" s="59" t="n"/>
      <c r="V140" s="59" t="n"/>
      <c r="W140" s="59" t="n"/>
      <c r="X140" s="59" t="n"/>
      <c r="Y140" s="59" t="n"/>
      <c r="Z140" s="59" t="n"/>
      <c r="AA140" s="59" t="n"/>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IF(C141="","",ROW()-2)</f>
        <v/>
      </c>
      <c r="B141" s="825" t="n"/>
      <c r="C141" s="826" t="n"/>
      <c r="D141" s="827" t="n"/>
      <c r="E141" s="828" t="n"/>
      <c r="F141" s="829" t="n"/>
      <c r="G141" s="829" t="n"/>
      <c r="H141" s="830" t="n"/>
      <c r="I141" s="37" t="n"/>
      <c r="J141" s="37" t="n"/>
      <c r="K141" s="35">
        <f>IFERROR(I141+J141,0)</f>
        <v/>
      </c>
      <c r="U141" s="59" t="n"/>
      <c r="V141" s="59" t="n"/>
      <c r="W141" s="59" t="n"/>
      <c r="X141" s="59" t="n"/>
      <c r="Y141" s="59" t="n"/>
      <c r="Z141" s="59" t="n"/>
      <c r="AA141" s="59" t="n"/>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IF(C142="","",ROW()-2)</f>
        <v/>
      </c>
      <c r="B142" s="825" t="n"/>
      <c r="C142" s="826" t="n"/>
      <c r="D142" s="827" t="n"/>
      <c r="E142" s="828" t="n"/>
      <c r="F142" s="829" t="n"/>
      <c r="G142" s="829" t="n"/>
      <c r="H142" s="830" t="n"/>
      <c r="I142" s="37" t="n"/>
      <c r="J142" s="37" t="n"/>
      <c r="K142" s="35">
        <f>IFERROR(I142+J142,0)</f>
        <v/>
      </c>
      <c r="U142" s="59" t="n"/>
      <c r="V142" s="59" t="n"/>
      <c r="W142" s="59" t="n"/>
      <c r="X142" s="59" t="n"/>
      <c r="Y142" s="59" t="n"/>
      <c r="Z142" s="59" t="n"/>
      <c r="AA142" s="59" t="n"/>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IF(C143="","",ROW()-2)</f>
        <v/>
      </c>
      <c r="B143" s="825" t="n"/>
      <c r="C143" s="826" t="n"/>
      <c r="D143" s="827" t="n"/>
      <c r="E143" s="828" t="n"/>
      <c r="F143" s="829" t="n"/>
      <c r="G143" s="829" t="n"/>
      <c r="H143" s="830" t="n"/>
      <c r="I143" s="37" t="n"/>
      <c r="J143" s="37" t="n"/>
      <c r="K143" s="35">
        <f>IFERROR(I143+J143,0)</f>
        <v/>
      </c>
      <c r="U143" s="59" t="n"/>
      <c r="V143" s="59" t="n"/>
      <c r="W143" s="59" t="n"/>
      <c r="X143" s="59" t="n"/>
      <c r="Y143" s="59" t="n"/>
      <c r="Z143" s="59" t="n"/>
      <c r="AA143" s="59" t="n"/>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IF(C144="","",ROW()-2)</f>
        <v/>
      </c>
      <c r="B144" s="825" t="n"/>
      <c r="C144" s="826" t="n"/>
      <c r="D144" s="827" t="n"/>
      <c r="E144" s="828" t="n"/>
      <c r="F144" s="829" t="n"/>
      <c r="G144" s="829" t="n"/>
      <c r="H144" s="830" t="n"/>
      <c r="I144" s="37" t="n"/>
      <c r="J144" s="37" t="n"/>
      <c r="K144" s="35">
        <f>IFERROR(I144+J144,0)</f>
        <v/>
      </c>
      <c r="U144" s="59" t="n"/>
      <c r="V144" s="59" t="n"/>
      <c r="W144" s="59" t="n"/>
      <c r="X144" s="59" t="n"/>
      <c r="Y144" s="59" t="n"/>
      <c r="Z144" s="59" t="n"/>
      <c r="AA144" s="59" t="n"/>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IF(C145="","",ROW()-2)</f>
        <v/>
      </c>
      <c r="B145" s="825" t="n"/>
      <c r="C145" s="826" t="n"/>
      <c r="D145" s="827" t="n"/>
      <c r="E145" s="828" t="n"/>
      <c r="F145" s="829" t="n"/>
      <c r="G145" s="829" t="n"/>
      <c r="H145" s="830" t="n"/>
      <c r="I145" s="37" t="n"/>
      <c r="J145" s="37" t="n"/>
      <c r="K145" s="35">
        <f>IFERROR(I145+J145,0)</f>
        <v/>
      </c>
      <c r="U145" s="59" t="n"/>
      <c r="V145" s="59" t="n"/>
      <c r="W145" s="59" t="n"/>
      <c r="X145" s="59" t="n"/>
      <c r="Y145" s="59" t="n"/>
      <c r="Z145" s="59" t="n"/>
      <c r="AA145" s="59" t="n"/>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IF(C146="","",ROW()-2)</f>
        <v/>
      </c>
      <c r="B146" s="825" t="n"/>
      <c r="C146" s="826" t="n"/>
      <c r="D146" s="827" t="n"/>
      <c r="E146" s="828" t="n"/>
      <c r="F146" s="829" t="n"/>
      <c r="G146" s="829" t="n"/>
      <c r="H146" s="830" t="n"/>
      <c r="I146" s="37" t="n"/>
      <c r="J146" s="37" t="n"/>
      <c r="K146" s="35">
        <f>IFERROR(I146+J146,0)</f>
        <v/>
      </c>
      <c r="U146" s="59" t="n"/>
      <c r="V146" s="59" t="n"/>
      <c r="W146" s="59" t="n"/>
      <c r="X146" s="59" t="n"/>
      <c r="Y146" s="59" t="n"/>
      <c r="Z146" s="59" t="n"/>
      <c r="AA146" s="59" t="n"/>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IF(C147="","",ROW()-2)</f>
        <v/>
      </c>
      <c r="B147" s="825" t="n"/>
      <c r="C147" s="826" t="n"/>
      <c r="D147" s="827" t="n"/>
      <c r="E147" s="828" t="n"/>
      <c r="F147" s="829" t="n"/>
      <c r="G147" s="829" t="n"/>
      <c r="H147" s="830" t="n"/>
      <c r="I147" s="37" t="n"/>
      <c r="J147" s="37" t="n"/>
      <c r="K147" s="35">
        <f>IFERROR(I147+J147,0)</f>
        <v/>
      </c>
      <c r="U147" s="59" t="n"/>
      <c r="V147" s="59" t="n"/>
      <c r="W147" s="59" t="n"/>
      <c r="X147" s="59" t="n"/>
      <c r="Y147" s="59" t="n"/>
      <c r="Z147" s="59" t="n"/>
      <c r="AA147" s="59" t="n"/>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IF(C148="","",ROW()-2)</f>
        <v/>
      </c>
      <c r="B148" s="825" t="n"/>
      <c r="C148" s="826" t="n"/>
      <c r="D148" s="827" t="n"/>
      <c r="E148" s="828" t="n"/>
      <c r="F148" s="829" t="n"/>
      <c r="G148" s="829" t="n"/>
      <c r="H148" s="830" t="n"/>
      <c r="I148" s="37" t="n"/>
      <c r="J148" s="37" t="n"/>
      <c r="K148" s="35">
        <f>IFERROR(I148+J148,0)</f>
        <v/>
      </c>
      <c r="U148" s="59" t="n"/>
      <c r="V148" s="59" t="n"/>
      <c r="W148" s="59" t="n"/>
      <c r="X148" s="59" t="n"/>
      <c r="Y148" s="59" t="n"/>
      <c r="Z148" s="59" t="n"/>
      <c r="AA148" s="59" t="n"/>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IF(C149="","",ROW()-2)</f>
        <v/>
      </c>
      <c r="B149" s="825" t="n"/>
      <c r="C149" s="826" t="n"/>
      <c r="D149" s="827" t="n"/>
      <c r="E149" s="828" t="n"/>
      <c r="F149" s="829" t="n"/>
      <c r="G149" s="829" t="n"/>
      <c r="H149" s="830" t="n"/>
      <c r="I149" s="37" t="n"/>
      <c r="J149" s="37" t="n"/>
      <c r="K149" s="35">
        <f>IFERROR(I149+J149,0)</f>
        <v/>
      </c>
      <c r="U149" s="59" t="n"/>
      <c r="V149" s="59" t="n"/>
      <c r="W149" s="59" t="n"/>
      <c r="X149" s="59" t="n"/>
      <c r="Y149" s="59" t="n"/>
      <c r="Z149" s="59" t="n"/>
      <c r="AA149" s="59" t="n"/>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IF(C150="","",ROW()-2)</f>
        <v/>
      </c>
      <c r="B150" s="825" t="n"/>
      <c r="C150" s="826" t="n"/>
      <c r="D150" s="827" t="n"/>
      <c r="E150" s="828" t="n"/>
      <c r="F150" s="829" t="n"/>
      <c r="G150" s="829" t="n"/>
      <c r="H150" s="830" t="n"/>
      <c r="I150" s="37" t="n"/>
      <c r="J150" s="37" t="n"/>
      <c r="K150" s="35">
        <f>IFERROR(I150+J150,0)</f>
        <v/>
      </c>
      <c r="U150" s="59" t="n"/>
      <c r="V150" s="59" t="n"/>
      <c r="W150" s="59" t="n"/>
      <c r="X150" s="59" t="n"/>
      <c r="Y150" s="59" t="n"/>
      <c r="Z150" s="59" t="n"/>
      <c r="AA150" s="59" t="n"/>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824">
        <f>IF(C151="","",ROW()-2)</f>
        <v/>
      </c>
      <c r="B151" s="825" t="inlineStr">
        <is>
          <t>Totals</t>
        </is>
      </c>
      <c r="C151" s="826" t="n"/>
      <c r="D151" s="827" t="n"/>
      <c r="E151" s="828" t="n"/>
      <c r="F151" s="829" t="n"/>
      <c r="G151" s="829" t="n"/>
      <c r="H151" s="830" t="n"/>
      <c r="I151" s="37">
        <f>SUM(I3:I150)</f>
        <v/>
      </c>
      <c r="J151" s="37">
        <f>SUM(J3:J150)</f>
        <v/>
      </c>
      <c r="K151" s="35">
        <f>SUM(K3:K150)</f>
        <v/>
      </c>
      <c r="U151" s="59" t="n"/>
      <c r="V151" s="59" t="n"/>
      <c r="W151" s="59" t="n"/>
      <c r="X151" s="59" t="n"/>
      <c r="Y151" s="59" t="n"/>
      <c r="Z151" s="59" t="n"/>
      <c r="AA151" s="59"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IF(C152="","",ROW()-2)</f>
        <v/>
      </c>
      <c r="B152" s="825" t="n"/>
      <c r="C152" s="826" t="n"/>
      <c r="D152" s="827" t="n"/>
      <c r="E152" s="828" t="n"/>
      <c r="F152" s="829" t="n"/>
      <c r="G152" s="829" t="n"/>
      <c r="H152" s="830" t="n"/>
      <c r="I152" s="37" t="n"/>
      <c r="J152" s="37" t="n"/>
      <c r="K152" s="35">
        <f>IFERROR(I152+J152,0)</f>
        <v/>
      </c>
      <c r="U152" s="59" t="n"/>
      <c r="V152" s="59" t="n"/>
      <c r="W152" s="59" t="n"/>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IF(C153="","",ROW()-2)</f>
        <v/>
      </c>
      <c r="B153" s="825" t="n"/>
      <c r="C153" s="826" t="n"/>
      <c r="D153" s="827" t="n"/>
      <c r="E153" s="828" t="n"/>
      <c r="F153" s="829" t="n"/>
      <c r="G153" s="829" t="n"/>
      <c r="H153" s="830" t="n"/>
      <c r="I153" s="37" t="n"/>
      <c r="J153" s="37" t="n"/>
      <c r="K153" s="35">
        <f>IFERROR(I153+J153,0)</f>
        <v/>
      </c>
      <c r="U153" s="59" t="n"/>
      <c r="V153" s="59" t="n"/>
      <c r="W153" s="59" t="n"/>
      <c r="X153" s="59" t="n"/>
      <c r="Y153" s="59" t="n"/>
      <c r="Z153" s="59" t="n"/>
      <c r="AA153" s="59" t="n"/>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IF(C154="","",ROW()-2)</f>
        <v/>
      </c>
      <c r="B154" s="825" t="n"/>
      <c r="C154" s="826" t="n"/>
      <c r="D154" s="827" t="n"/>
      <c r="E154" s="828" t="n"/>
      <c r="F154" s="829" t="n"/>
      <c r="G154" s="829" t="n"/>
      <c r="H154" s="830" t="n"/>
      <c r="I154" s="37" t="n"/>
      <c r="J154" s="37" t="n"/>
      <c r="K154" s="35">
        <f>IFERROR(I154+J154,0)</f>
        <v/>
      </c>
      <c r="U154" s="59" t="n"/>
      <c r="V154" s="59" t="n"/>
      <c r="W154" s="59" t="n"/>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IF(C155="","",ROW()-2)</f>
        <v/>
      </c>
      <c r="B155" s="825" t="n"/>
      <c r="C155" s="826" t="n"/>
      <c r="D155" s="827" t="n"/>
      <c r="E155" s="828" t="n"/>
      <c r="F155" s="829" t="n"/>
      <c r="G155" s="829" t="n"/>
      <c r="H155" s="830" t="n"/>
      <c r="I155" s="37" t="n"/>
      <c r="J155" s="37" t="n"/>
      <c r="K155" s="35">
        <f>IFERROR(I155+J155,0)</f>
        <v/>
      </c>
      <c r="U155" s="59" t="n"/>
      <c r="V155" s="59" t="n"/>
      <c r="W155" s="59" t="n"/>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IF(C156="","",ROW()-2)</f>
        <v/>
      </c>
      <c r="B156" s="825" t="n"/>
      <c r="C156" s="826" t="n"/>
      <c r="D156" s="827" t="n"/>
      <c r="E156" s="828" t="n"/>
      <c r="F156" s="829" t="n"/>
      <c r="G156" s="829" t="n"/>
      <c r="H156" s="830" t="n"/>
      <c r="I156" s="37" t="n"/>
      <c r="J156" s="37" t="n"/>
      <c r="K156" s="35">
        <f>IFERROR(I156+J156,0)</f>
        <v/>
      </c>
      <c r="U156" s="59" t="n"/>
      <c r="V156" s="59" t="n"/>
      <c r="W156" s="59" t="n"/>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IF(C157="","",ROW()-2)</f>
        <v/>
      </c>
      <c r="B157" s="825" t="n"/>
      <c r="C157" s="826" t="n"/>
      <c r="D157" s="827" t="n"/>
      <c r="E157" s="828" t="n"/>
      <c r="F157" s="829" t="n"/>
      <c r="G157" s="829" t="n"/>
      <c r="H157" s="830" t="n"/>
      <c r="I157" s="37" t="n"/>
      <c r="J157" s="37" t="n"/>
      <c r="K157" s="35">
        <f>IFERROR(I157+J157,0)</f>
        <v/>
      </c>
      <c r="U157" s="59" t="n"/>
      <c r="V157" s="59" t="n"/>
      <c r="W157" s="59"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IF(C158="","",ROW()-2)</f>
        <v/>
      </c>
      <c r="B158" s="825" t="n"/>
      <c r="C158" s="826" t="n"/>
      <c r="D158" s="827" t="n"/>
      <c r="E158" s="828" t="n"/>
      <c r="F158" s="829" t="n"/>
      <c r="G158" s="829" t="n"/>
      <c r="H158" s="830" t="n"/>
      <c r="I158" s="37" t="n"/>
      <c r="J158" s="37" t="n"/>
      <c r="K158" s="35">
        <f>IFERROR(I158+J158,0)</f>
        <v/>
      </c>
      <c r="U158" s="59" t="n"/>
      <c r="V158" s="59" t="n"/>
      <c r="W158" s="59" t="n"/>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IF(C159="","",ROW()-2)</f>
        <v/>
      </c>
      <c r="B159" s="825" t="n"/>
      <c r="C159" s="826" t="n"/>
      <c r="D159" s="827" t="n"/>
      <c r="E159" s="828" t="n"/>
      <c r="F159" s="829" t="n"/>
      <c r="G159" s="829" t="n"/>
      <c r="H159" s="830" t="n"/>
      <c r="I159" s="37" t="n"/>
      <c r="J159" s="37" t="n"/>
      <c r="K159" s="35">
        <f>IFERROR(I159+J159,0)</f>
        <v/>
      </c>
      <c r="U159" s="59" t="n"/>
      <c r="V159" s="59" t="n"/>
      <c r="W159" s="59" t="n"/>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IF(C160="","",ROW()-2)</f>
        <v/>
      </c>
      <c r="B160" s="825" t="n"/>
      <c r="C160" s="826" t="n"/>
      <c r="D160" s="827" t="n"/>
      <c r="E160" s="828" t="n"/>
      <c r="F160" s="829" t="n"/>
      <c r="G160" s="829" t="n"/>
      <c r="H160" s="830" t="n"/>
      <c r="I160" s="37" t="n"/>
      <c r="J160" s="37" t="n"/>
      <c r="K160" s="35">
        <f>IFERROR(I160+J160,0)</f>
        <v/>
      </c>
      <c r="U160" s="59" t="n"/>
      <c r="V160" s="59" t="n"/>
      <c r="W160" s="59" t="n"/>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IF(C161="","",ROW()-2)</f>
        <v/>
      </c>
      <c r="B161" s="825" t="n"/>
      <c r="C161" s="826" t="n"/>
      <c r="D161" s="827" t="n"/>
      <c r="E161" s="828" t="n"/>
      <c r="F161" s="829" t="n"/>
      <c r="G161" s="829" t="n"/>
      <c r="H161" s="830" t="n"/>
      <c r="I161" s="37" t="n"/>
      <c r="J161" s="37" t="n"/>
      <c r="K161" s="35">
        <f>IFERROR(I161+J161,0)</f>
        <v/>
      </c>
      <c r="U161" s="59" t="n"/>
      <c r="V161" s="59" t="n"/>
      <c r="W161" s="59" t="n"/>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IF(C162="","",ROW()-2)</f>
        <v/>
      </c>
      <c r="B162" s="825" t="n"/>
      <c r="C162" s="826" t="n"/>
      <c r="D162" s="827" t="n"/>
      <c r="E162" s="828" t="n"/>
      <c r="F162" s="829" t="n"/>
      <c r="G162" s="829" t="n"/>
      <c r="H162" s="830" t="n"/>
      <c r="I162" s="37" t="n"/>
      <c r="J162" s="37" t="n"/>
      <c r="K162" s="35">
        <f>IFERROR(I162+J162,0)</f>
        <v/>
      </c>
      <c r="U162" s="59" t="n"/>
      <c r="V162" s="59" t="n"/>
      <c r="W162" s="59" t="n"/>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IF(C163="","",ROW()-2)</f>
        <v/>
      </c>
      <c r="B163" s="825" t="n"/>
      <c r="C163" s="826" t="n"/>
      <c r="D163" s="827" t="n"/>
      <c r="E163" s="828" t="n"/>
      <c r="F163" s="829" t="n"/>
      <c r="G163" s="829" t="n"/>
      <c r="H163" s="830" t="n"/>
      <c r="I163" s="37" t="n"/>
      <c r="J163" s="37" t="n"/>
      <c r="K163" s="35">
        <f>IFERROR(I163+J163,0)</f>
        <v/>
      </c>
      <c r="U163" s="59" t="n"/>
      <c r="V163" s="59" t="n"/>
      <c r="W163" s="59" t="n"/>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IF(C164="","",ROW()-2)</f>
        <v/>
      </c>
      <c r="B164" s="825" t="n"/>
      <c r="C164" s="826" t="n"/>
      <c r="D164" s="827" t="n"/>
      <c r="E164" s="828" t="n"/>
      <c r="F164" s="829" t="n"/>
      <c r="G164" s="829" t="n"/>
      <c r="H164" s="830" t="n"/>
      <c r="I164" s="37" t="n"/>
      <c r="J164" s="37" t="n"/>
      <c r="K164" s="35">
        <f>IFERROR(I164+J164,0)</f>
        <v/>
      </c>
      <c r="U164" s="59" t="n"/>
      <c r="V164" s="59" t="n"/>
      <c r="W164" s="59" t="n"/>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IF(C165="","",ROW()-2)</f>
        <v/>
      </c>
      <c r="B165" s="825" t="n"/>
      <c r="C165" s="826" t="n"/>
      <c r="D165" s="827" t="n"/>
      <c r="E165" s="828" t="n"/>
      <c r="F165" s="829" t="n"/>
      <c r="G165" s="829" t="n"/>
      <c r="H165" s="830" t="n"/>
      <c r="I165" s="37" t="n"/>
      <c r="J165" s="37" t="n"/>
      <c r="K165" s="35">
        <f>IFERROR(I165+J165,0)</f>
        <v/>
      </c>
      <c r="U165" s="59" t="n"/>
      <c r="V165" s="59" t="n"/>
      <c r="W165" s="59" t="n"/>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IF(C166="","",ROW()-2)</f>
        <v/>
      </c>
      <c r="B166" s="825" t="n"/>
      <c r="C166" s="826" t="n"/>
      <c r="D166" s="827" t="n"/>
      <c r="E166" s="828" t="n"/>
      <c r="F166" s="829" t="n"/>
      <c r="G166" s="829" t="n"/>
      <c r="H166" s="830" t="n"/>
      <c r="I166" s="37" t="n"/>
      <c r="J166" s="37" t="n"/>
      <c r="K166" s="35">
        <f>IFERROR(I166+J166,0)</f>
        <v/>
      </c>
      <c r="U166" s="59" t="n"/>
      <c r="V166" s="59" t="n"/>
      <c r="W166" s="59" t="n"/>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IF(C167="","",ROW()-2)</f>
        <v/>
      </c>
      <c r="B167" s="825" t="n"/>
      <c r="C167" s="826" t="n"/>
      <c r="D167" s="827" t="n"/>
      <c r="E167" s="828" t="n"/>
      <c r="F167" s="829" t="n"/>
      <c r="G167" s="829" t="n"/>
      <c r="H167" s="830" t="n"/>
      <c r="I167" s="37" t="n"/>
      <c r="J167" s="37" t="n"/>
      <c r="K167" s="35">
        <f>IFERROR(I167+J167,0)</f>
        <v/>
      </c>
      <c r="U167" s="59" t="n"/>
      <c r="V167" s="59" t="n"/>
      <c r="W167" s="59" t="n"/>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IF(C168="","",ROW()-2)</f>
        <v/>
      </c>
      <c r="B168" s="825" t="n"/>
      <c r="C168" s="826" t="n"/>
      <c r="D168" s="827" t="n"/>
      <c r="E168" s="828" t="n"/>
      <c r="F168" s="829" t="n"/>
      <c r="G168" s="829" t="n"/>
      <c r="H168" s="830" t="n"/>
      <c r="I168" s="37" t="n"/>
      <c r="J168" s="37" t="n"/>
      <c r="K168" s="35">
        <f>IFERROR(I168+J168,0)</f>
        <v/>
      </c>
      <c r="U168" s="59" t="n"/>
      <c r="V168" s="59" t="n"/>
      <c r="W168" s="59" t="n"/>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IF(C169="","",ROW()-2)</f>
        <v/>
      </c>
      <c r="B169" s="825" t="n"/>
      <c r="C169" s="826" t="n"/>
      <c r="D169" s="827" t="n"/>
      <c r="E169" s="828" t="n"/>
      <c r="F169" s="829" t="n"/>
      <c r="G169" s="829" t="n"/>
      <c r="H169" s="830" t="n"/>
      <c r="I169" s="37" t="n"/>
      <c r="J169" s="37" t="n"/>
      <c r="K169" s="35">
        <f>IFERROR(I169+J169,0)</f>
        <v/>
      </c>
      <c r="U169" s="59" t="n"/>
      <c r="V169" s="59" t="n"/>
      <c r="W169" s="59" t="n"/>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IF(C170="","",ROW()-2)</f>
        <v/>
      </c>
      <c r="B170" s="825" t="n"/>
      <c r="C170" s="826" t="n"/>
      <c r="D170" s="827" t="n"/>
      <c r="E170" s="828" t="n"/>
      <c r="F170" s="829" t="n"/>
      <c r="G170" s="829" t="n"/>
      <c r="H170" s="830" t="n"/>
      <c r="I170" s="37" t="n"/>
      <c r="J170" s="37" t="n"/>
      <c r="K170" s="35">
        <f>IFERROR(I170+J170,0)</f>
        <v/>
      </c>
      <c r="U170" s="59" t="n"/>
      <c r="V170" s="59" t="n"/>
      <c r="W170" s="59" t="n"/>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IF(C171="","",ROW()-2)</f>
        <v/>
      </c>
      <c r="B171" s="825" t="n"/>
      <c r="C171" s="826" t="n"/>
      <c r="D171" s="827" t="n"/>
      <c r="E171" s="828" t="n"/>
      <c r="F171" s="829" t="n"/>
      <c r="G171" s="829" t="n"/>
      <c r="H171" s="830" t="n"/>
      <c r="I171" s="37" t="n"/>
      <c r="J171" s="37" t="n"/>
      <c r="K171" s="35">
        <f>IFERROR(I171+J171,0)</f>
        <v/>
      </c>
      <c r="U171" s="59" t="n"/>
      <c r="V171" s="59" t="n"/>
      <c r="W171" s="59" t="n"/>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IF(C172="","",ROW()-2)</f>
        <v/>
      </c>
      <c r="B172" s="825" t="n"/>
      <c r="C172" s="826" t="n"/>
      <c r="D172" s="827" t="n"/>
      <c r="E172" s="828" t="n"/>
      <c r="F172" s="829" t="n"/>
      <c r="G172" s="829" t="n"/>
      <c r="H172" s="830" t="n"/>
      <c r="I172" s="37" t="n"/>
      <c r="J172" s="37" t="n"/>
      <c r="K172" s="35">
        <f>IFERROR(I172+J172,0)</f>
        <v/>
      </c>
      <c r="U172" s="59" t="n"/>
      <c r="V172" s="59" t="n"/>
      <c r="W172" s="59" t="n"/>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IF(C173="","",ROW()-2)</f>
        <v/>
      </c>
      <c r="B173" s="825" t="n"/>
      <c r="C173" s="826" t="n"/>
      <c r="D173" s="827" t="n"/>
      <c r="E173" s="828" t="n"/>
      <c r="F173" s="829" t="n"/>
      <c r="G173" s="829" t="n"/>
      <c r="H173" s="830" t="n"/>
      <c r="I173" s="37" t="n"/>
      <c r="J173" s="37" t="n"/>
      <c r="K173" s="35">
        <f>IFERROR(I173+J173,0)</f>
        <v/>
      </c>
      <c r="U173" s="59" t="n"/>
      <c r="V173" s="59" t="n"/>
      <c r="W173" s="59" t="n"/>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IF(C174="","",ROW()-2)</f>
        <v/>
      </c>
      <c r="B174" s="825" t="n"/>
      <c r="C174" s="826" t="n"/>
      <c r="D174" s="827" t="n"/>
      <c r="E174" s="828" t="n"/>
      <c r="F174" s="829" t="n"/>
      <c r="G174" s="829" t="n"/>
      <c r="H174" s="830" t="n"/>
      <c r="I174" s="37" t="n"/>
      <c r="J174" s="37" t="n"/>
      <c r="K174" s="35">
        <f>IFERROR(I174+J174,0)</f>
        <v/>
      </c>
      <c r="U174" s="59" t="n"/>
      <c r="V174" s="59" t="n"/>
      <c r="W174" s="59" t="n"/>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IF(C175="","",ROW()-2)</f>
        <v/>
      </c>
      <c r="B175" s="825" t="n"/>
      <c r="C175" s="826" t="n"/>
      <c r="D175" s="827" t="n"/>
      <c r="E175" s="828" t="n"/>
      <c r="F175" s="829" t="n"/>
      <c r="G175" s="829" t="n"/>
      <c r="H175" s="830" t="n"/>
      <c r="I175" s="37" t="n"/>
      <c r="J175" s="37" t="n"/>
      <c r="K175" s="35">
        <f>IFERROR(I175+J175,0)</f>
        <v/>
      </c>
      <c r="U175" s="59" t="n"/>
      <c r="V175" s="59" t="n"/>
      <c r="W175" s="59" t="n"/>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IF(C176="","",ROW()-2)</f>
        <v/>
      </c>
      <c r="B176" s="825" t="n"/>
      <c r="C176" s="826" t="n"/>
      <c r="D176" s="827" t="n"/>
      <c r="E176" s="828" t="n"/>
      <c r="F176" s="829" t="n"/>
      <c r="G176" s="829" t="n"/>
      <c r="H176" s="830" t="n"/>
      <c r="I176" s="37" t="n"/>
      <c r="J176" s="37" t="n"/>
      <c r="K176" s="35">
        <f>IFERROR(I176+J176,0)</f>
        <v/>
      </c>
      <c r="U176" s="59" t="n"/>
      <c r="V176" s="59" t="n"/>
      <c r="W176" s="59" t="n"/>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IF(C177="","",ROW()-2)</f>
        <v/>
      </c>
      <c r="B177" s="825" t="n"/>
      <c r="C177" s="826" t="n"/>
      <c r="D177" s="827" t="n"/>
      <c r="E177" s="828" t="n"/>
      <c r="F177" s="829" t="n"/>
      <c r="G177" s="829" t="n"/>
      <c r="H177" s="830" t="n"/>
      <c r="I177" s="37" t="n"/>
      <c r="J177" s="37" t="n"/>
      <c r="K177" s="35">
        <f>IFERROR(I177+J177,0)</f>
        <v/>
      </c>
      <c r="U177" s="59" t="n"/>
      <c r="V177" s="59" t="n"/>
      <c r="W177" s="59" t="n"/>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IF(C178="","",ROW()-2)</f>
        <v/>
      </c>
      <c r="B178" s="825" t="n"/>
      <c r="C178" s="826" t="n"/>
      <c r="D178" s="827" t="n"/>
      <c r="E178" s="828" t="n"/>
      <c r="F178" s="829" t="n"/>
      <c r="G178" s="829" t="n"/>
      <c r="H178" s="830" t="n"/>
      <c r="I178" s="37" t="n"/>
      <c r="J178" s="37" t="n"/>
      <c r="K178" s="35">
        <f>IFERROR(I178+J178,0)</f>
        <v/>
      </c>
      <c r="U178" s="59" t="n"/>
      <c r="V178" s="59" t="n"/>
      <c r="W178" s="59" t="n"/>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IF(C179="","",ROW()-2)</f>
        <v/>
      </c>
      <c r="B179" s="825" t="n"/>
      <c r="C179" s="826" t="n"/>
      <c r="D179" s="827" t="n"/>
      <c r="E179" s="828" t="n"/>
      <c r="F179" s="829" t="n"/>
      <c r="G179" s="829" t="n"/>
      <c r="H179" s="830" t="n"/>
      <c r="I179" s="37" t="n"/>
      <c r="J179" s="37" t="n"/>
      <c r="K179" s="35">
        <f>IFERROR(I179+J179,0)</f>
        <v/>
      </c>
      <c r="U179" s="59" t="n"/>
      <c r="V179" s="59" t="n"/>
      <c r="W179" s="59" t="n"/>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IF(C180="","",ROW()-2)</f>
        <v/>
      </c>
      <c r="B180" s="825" t="n"/>
      <c r="C180" s="826" t="n"/>
      <c r="D180" s="827" t="n"/>
      <c r="E180" s="828" t="n"/>
      <c r="F180" s="829" t="n"/>
      <c r="G180" s="829" t="n"/>
      <c r="H180" s="830" t="n"/>
      <c r="I180" s="37" t="n"/>
      <c r="J180" s="37" t="n"/>
      <c r="K180" s="35">
        <f>IFERROR(I180+J180,0)</f>
        <v/>
      </c>
      <c r="U180" s="59" t="n"/>
      <c r="V180" s="59" t="n"/>
      <c r="W180" s="59" t="n"/>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IF(C181="","",ROW()-2)</f>
        <v/>
      </c>
      <c r="B181" s="825" t="n"/>
      <c r="C181" s="826" t="n"/>
      <c r="D181" s="827" t="n"/>
      <c r="E181" s="828" t="n"/>
      <c r="F181" s="829" t="n"/>
      <c r="G181" s="829" t="n"/>
      <c r="H181" s="830" t="n"/>
      <c r="I181" s="37" t="n"/>
      <c r="J181" s="37" t="n"/>
      <c r="K181" s="35">
        <f>IFERROR(I181+J181,0)</f>
        <v/>
      </c>
      <c r="U181" s="59" t="n"/>
      <c r="V181" s="59" t="n"/>
      <c r="W181" s="59" t="n"/>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IF(C182="","",ROW()-2)</f>
        <v/>
      </c>
      <c r="B182" s="825" t="n"/>
      <c r="C182" s="826" t="n"/>
      <c r="D182" s="827" t="n"/>
      <c r="E182" s="828" t="n"/>
      <c r="F182" s="829" t="n"/>
      <c r="G182" s="829" t="n"/>
      <c r="H182" s="830" t="n"/>
      <c r="I182" s="37" t="n"/>
      <c r="J182" s="37" t="n"/>
      <c r="K182" s="35">
        <f>IFERROR(I182+J182,0)</f>
        <v/>
      </c>
      <c r="U182" s="59" t="n"/>
      <c r="V182" s="59" t="n"/>
      <c r="W182" s="59" t="n"/>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IF(C183="","",ROW()-2)</f>
        <v/>
      </c>
      <c r="B183" s="825" t="n"/>
      <c r="C183" s="826" t="n"/>
      <c r="D183" s="827" t="n"/>
      <c r="E183" s="828" t="n"/>
      <c r="F183" s="829" t="n"/>
      <c r="G183" s="829" t="n"/>
      <c r="H183" s="830" t="n"/>
      <c r="I183" s="37" t="n"/>
      <c r="J183" s="37" t="n"/>
      <c r="K183" s="35">
        <f>IFERROR(I183+J183,0)</f>
        <v/>
      </c>
      <c r="U183" s="59" t="n"/>
      <c r="V183" s="59" t="n"/>
      <c r="W183" s="59" t="n"/>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IF(C184="","",ROW()-2)</f>
        <v/>
      </c>
      <c r="B184" s="825" t="n"/>
      <c r="C184" s="826" t="n"/>
      <c r="D184" s="827" t="n"/>
      <c r="E184" s="828" t="n"/>
      <c r="F184" s="829" t="n"/>
      <c r="G184" s="829" t="n"/>
      <c r="H184" s="830" t="n"/>
      <c r="I184" s="37" t="n"/>
      <c r="J184" s="37" t="n"/>
      <c r="K184" s="35">
        <f>IFERROR(I184+J184,0)</f>
        <v/>
      </c>
      <c r="U184" s="59" t="n"/>
      <c r="V184" s="59" t="n"/>
      <c r="W184" s="59" t="n"/>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IF(C185="","",ROW()-2)</f>
        <v/>
      </c>
      <c r="B185" s="825" t="n"/>
      <c r="C185" s="826" t="n"/>
      <c r="D185" s="827" t="n"/>
      <c r="E185" s="828" t="n"/>
      <c r="F185" s="829" t="n"/>
      <c r="G185" s="829" t="n"/>
      <c r="H185" s="830" t="n"/>
      <c r="I185" s="37" t="n"/>
      <c r="J185" s="37" t="n"/>
      <c r="K185" s="35">
        <f>IFERROR(I185+J185,0)</f>
        <v/>
      </c>
      <c r="U185" s="59" t="n"/>
      <c r="V185" s="59" t="n"/>
      <c r="W185" s="59" t="n"/>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IF(C186="","",ROW()-2)</f>
        <v/>
      </c>
      <c r="B186" s="825" t="n"/>
      <c r="C186" s="826" t="n"/>
      <c r="D186" s="827" t="n"/>
      <c r="E186" s="828" t="n"/>
      <c r="F186" s="829" t="n"/>
      <c r="G186" s="829" t="n"/>
      <c r="H186" s="830" t="n"/>
      <c r="I186" s="37" t="n"/>
      <c r="J186" s="37" t="n"/>
      <c r="K186" s="35">
        <f>IFERROR(I186+J186,0)</f>
        <v/>
      </c>
      <c r="U186" s="59" t="n"/>
      <c r="V186" s="59" t="n"/>
      <c r="W186" s="59" t="n"/>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IF(C187="","",ROW()-2)</f>
        <v/>
      </c>
      <c r="B187" s="825" t="n"/>
      <c r="C187" s="826" t="n"/>
      <c r="D187" s="827" t="n"/>
      <c r="E187" s="828" t="n"/>
      <c r="F187" s="829" t="n"/>
      <c r="G187" s="829" t="n"/>
      <c r="H187" s="830" t="n"/>
      <c r="I187" s="37" t="n"/>
      <c r="J187" s="37" t="n"/>
      <c r="K187" s="35">
        <f>IFERROR(I187+J187,0)</f>
        <v/>
      </c>
      <c r="U187" s="59" t="n"/>
      <c r="V187" s="59" t="n"/>
      <c r="W187" s="59" t="n"/>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IF(C188="","",ROW()-2)</f>
        <v/>
      </c>
      <c r="B188" s="825" t="n"/>
      <c r="C188" s="826" t="n"/>
      <c r="D188" s="827" t="n"/>
      <c r="E188" s="828" t="n"/>
      <c r="F188" s="829" t="n"/>
      <c r="G188" s="829" t="n"/>
      <c r="H188" s="830" t="n"/>
      <c r="I188" s="37" t="n"/>
      <c r="J188" s="37" t="n"/>
      <c r="K188" s="35">
        <f>IFERROR(I188+J188,0)</f>
        <v/>
      </c>
      <c r="U188" s="59" t="n"/>
      <c r="V188" s="59" t="n"/>
      <c r="W188" s="59" t="n"/>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IF(C189="","",ROW()-2)</f>
        <v/>
      </c>
      <c r="B189" s="825" t="n"/>
      <c r="C189" s="826" t="n"/>
      <c r="D189" s="827" t="n"/>
      <c r="E189" s="828" t="n"/>
      <c r="F189" s="829" t="n"/>
      <c r="G189" s="829" t="n"/>
      <c r="H189" s="830" t="n"/>
      <c r="I189" s="37" t="n"/>
      <c r="J189" s="37" t="n"/>
      <c r="K189" s="35">
        <f>IFERROR(I189+J189,0)</f>
        <v/>
      </c>
      <c r="U189" s="59" t="n"/>
      <c r="V189" s="59" t="n"/>
      <c r="W189" s="59" t="n"/>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IF(C190="","",ROW()-2)</f>
        <v/>
      </c>
      <c r="B190" s="825" t="n"/>
      <c r="C190" s="826" t="n"/>
      <c r="D190" s="827" t="n"/>
      <c r="E190" s="828" t="n"/>
      <c r="F190" s="829" t="n"/>
      <c r="G190" s="829" t="n"/>
      <c r="H190" s="830" t="n"/>
      <c r="I190" s="37" t="n"/>
      <c r="J190" s="37" t="n"/>
      <c r="K190" s="35">
        <f>IFERROR(I190+J190,0)</f>
        <v/>
      </c>
      <c r="U190" s="59" t="n"/>
      <c r="V190" s="59" t="n"/>
      <c r="W190" s="59" t="n"/>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IF(C191="","",ROW()-2)</f>
        <v/>
      </c>
      <c r="B191" s="825" t="n"/>
      <c r="C191" s="826" t="n"/>
      <c r="D191" s="827" t="n"/>
      <c r="E191" s="828" t="n"/>
      <c r="F191" s="829" t="n"/>
      <c r="G191" s="829" t="n"/>
      <c r="H191" s="830" t="n"/>
      <c r="I191" s="37" t="n"/>
      <c r="J191" s="37" t="n"/>
      <c r="K191" s="35">
        <f>IFERROR(I191+J191,0)</f>
        <v/>
      </c>
      <c r="U191" s="59" t="n"/>
      <c r="V191" s="59" t="n"/>
      <c r="W191" s="59" t="n"/>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IF(C192="","",ROW()-2)</f>
        <v/>
      </c>
      <c r="B192" s="825" t="n"/>
      <c r="C192" s="826" t="n"/>
      <c r="D192" s="827" t="n"/>
      <c r="E192" s="828" t="n"/>
      <c r="F192" s="829" t="n"/>
      <c r="G192" s="829" t="n"/>
      <c r="H192" s="830" t="n"/>
      <c r="I192" s="37" t="n"/>
      <c r="J192" s="37" t="n"/>
      <c r="K192" s="35">
        <f>IFERROR(I192+J192,0)</f>
        <v/>
      </c>
      <c r="U192" s="59" t="n"/>
      <c r="V192" s="59" t="n"/>
      <c r="W192" s="59" t="n"/>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IF(C193="","",ROW()-2)</f>
        <v/>
      </c>
      <c r="B193" s="825" t="n"/>
      <c r="C193" s="826" t="n"/>
      <c r="D193" s="827" t="n"/>
      <c r="E193" s="828" t="n"/>
      <c r="F193" s="829" t="n"/>
      <c r="G193" s="829" t="n"/>
      <c r="H193" s="830" t="n"/>
      <c r="I193" s="37" t="n"/>
      <c r="J193" s="37" t="n"/>
      <c r="K193" s="35">
        <f>IFERROR(I193+J193,0)</f>
        <v/>
      </c>
      <c r="U193" s="59" t="n"/>
      <c r="V193" s="59" t="n"/>
      <c r="W193" s="59" t="n"/>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IF(C194="","",ROW()-2)</f>
        <v/>
      </c>
      <c r="B194" s="825" t="n"/>
      <c r="C194" s="826" t="n"/>
      <c r="D194" s="827" t="n"/>
      <c r="E194" s="828" t="n"/>
      <c r="F194" s="829" t="n"/>
      <c r="G194" s="829" t="n"/>
      <c r="H194" s="830" t="n"/>
      <c r="I194" s="37" t="n"/>
      <c r="J194" s="37" t="n"/>
      <c r="K194" s="35">
        <f>IFERROR(I194+J194,0)</f>
        <v/>
      </c>
      <c r="U194" s="59" t="n"/>
      <c r="V194" s="59" t="n"/>
      <c r="W194" s="59" t="n"/>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IF(C195="","",ROW()-2)</f>
        <v/>
      </c>
      <c r="B195" s="825" t="n"/>
      <c r="C195" s="826" t="n"/>
      <c r="D195" s="827" t="n"/>
      <c r="E195" s="828" t="n"/>
      <c r="F195" s="829" t="n"/>
      <c r="G195" s="829" t="n"/>
      <c r="H195" s="830" t="n"/>
      <c r="I195" s="37" t="n"/>
      <c r="J195" s="37" t="n"/>
      <c r="K195" s="35">
        <f>IFERROR(I195+J195,0)</f>
        <v/>
      </c>
      <c r="U195" s="59" t="n"/>
      <c r="V195" s="59" t="n"/>
      <c r="W195" s="59" t="n"/>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IF(C196="","",ROW()-2)</f>
        <v/>
      </c>
      <c r="B196" s="825" t="n"/>
      <c r="C196" s="826" t="n"/>
      <c r="D196" s="827" t="n"/>
      <c r="E196" s="828" t="n"/>
      <c r="F196" s="829" t="n"/>
      <c r="G196" s="829" t="n"/>
      <c r="H196" s="830" t="n"/>
      <c r="I196" s="37" t="n"/>
      <c r="J196" s="37" t="n"/>
      <c r="K196" s="35">
        <f>IFERROR(I196+J196,0)</f>
        <v/>
      </c>
      <c r="U196" s="59" t="n"/>
      <c r="V196" s="59" t="n"/>
      <c r="W196" s="59" t="n"/>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IF(C197="","",ROW()-2)</f>
        <v/>
      </c>
      <c r="B197" s="825" t="n"/>
      <c r="C197" s="826" t="n"/>
      <c r="D197" s="827" t="n"/>
      <c r="E197" s="828" t="n"/>
      <c r="F197" s="829" t="n"/>
      <c r="G197" s="829" t="n"/>
      <c r="H197" s="830" t="n"/>
      <c r="I197" s="37" t="n"/>
      <c r="J197" s="37" t="n"/>
      <c r="K197" s="35">
        <f>IFERROR(I197+J197,0)</f>
        <v/>
      </c>
      <c r="U197" s="59" t="n"/>
      <c r="V197" s="59" t="n"/>
      <c r="W197" s="59" t="n"/>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IF(C198="","",ROW()-2)</f>
        <v/>
      </c>
      <c r="B198" s="825" t="n"/>
      <c r="C198" s="826" t="n"/>
      <c r="D198" s="827" t="n"/>
      <c r="E198" s="828" t="n"/>
      <c r="F198" s="829" t="n"/>
      <c r="G198" s="829" t="n"/>
      <c r="H198" s="830" t="n"/>
      <c r="I198" s="37" t="n"/>
      <c r="J198" s="37" t="n"/>
      <c r="K198" s="35">
        <f>IFERROR(I198+J198,0)</f>
        <v/>
      </c>
      <c r="U198" s="59" t="n"/>
      <c r="V198" s="59" t="n"/>
      <c r="W198" s="59" t="n"/>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IF(C199="","",ROW()-2)</f>
        <v/>
      </c>
      <c r="B199" s="825" t="n"/>
      <c r="C199" s="826" t="n"/>
      <c r="D199" s="827" t="n"/>
      <c r="E199" s="828" t="n"/>
      <c r="F199" s="829" t="n"/>
      <c r="G199" s="829" t="n"/>
      <c r="H199" s="830" t="n"/>
      <c r="I199" s="37" t="n"/>
      <c r="J199" s="37" t="n"/>
      <c r="K199" s="35">
        <f>IFERROR(I199+J199,0)</f>
        <v/>
      </c>
      <c r="U199" s="59" t="n"/>
      <c r="V199" s="59" t="n"/>
      <c r="W199" s="59" t="n"/>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IF(C200="","",ROW()-2)</f>
        <v/>
      </c>
      <c r="B200" s="825" t="n"/>
      <c r="C200" s="826" t="n"/>
      <c r="D200" s="827" t="n"/>
      <c r="E200" s="828" t="n"/>
      <c r="F200" s="829" t="n"/>
      <c r="G200" s="829" t="n"/>
      <c r="H200" s="830" t="n"/>
      <c r="I200" s="37" t="n"/>
      <c r="J200" s="37" t="n"/>
      <c r="K200" s="35">
        <f>IFERROR(I200+J200,0)</f>
        <v/>
      </c>
      <c r="U200" s="59" t="n"/>
      <c r="V200" s="59" t="n"/>
      <c r="W200" s="59" t="n"/>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IF(C201="","",ROW()-2)</f>
        <v/>
      </c>
      <c r="B201" s="825" t="n"/>
      <c r="C201" s="826" t="n"/>
      <c r="D201" s="827" t="n"/>
      <c r="E201" s="828" t="n"/>
      <c r="F201" s="829" t="n"/>
      <c r="G201" s="829" t="n"/>
      <c r="H201" s="830" t="n"/>
      <c r="I201" s="37" t="n"/>
      <c r="J201" s="37" t="n"/>
      <c r="K201" s="35">
        <f>IFERROR(I201+J201,0)</f>
        <v/>
      </c>
      <c r="U201" s="59" t="n"/>
      <c r="V201" s="59" t="n"/>
      <c r="W201" s="59" t="n"/>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IF(C202="","",ROW()-2)</f>
        <v/>
      </c>
      <c r="B202" s="825" t="n"/>
      <c r="C202" s="826" t="n"/>
      <c r="D202" s="827" t="n"/>
      <c r="E202" s="828" t="n"/>
      <c r="F202" s="829" t="n"/>
      <c r="G202" s="829" t="n"/>
      <c r="H202" s="830" t="n"/>
      <c r="I202" s="37" t="n"/>
      <c r="J202" s="37" t="n"/>
      <c r="K202" s="35">
        <f>IFERROR(I202+J202,0)</f>
        <v/>
      </c>
      <c r="U202" s="59" t="n"/>
      <c r="V202" s="59" t="n"/>
      <c r="W202" s="59" t="n"/>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IF(C203="","",ROW()-2)</f>
        <v/>
      </c>
      <c r="B203" s="825" t="n"/>
      <c r="C203" s="826" t="n"/>
      <c r="D203" s="827" t="n"/>
      <c r="E203" s="828" t="n"/>
      <c r="F203" s="829" t="n"/>
      <c r="G203" s="829" t="n"/>
      <c r="H203" s="830" t="n"/>
      <c r="I203" s="37" t="n"/>
      <c r="J203" s="37" t="n"/>
      <c r="K203" s="35">
        <f>IFERROR(I203+J203,0)</f>
        <v/>
      </c>
      <c r="U203" s="59" t="n"/>
      <c r="V203" s="59" t="n"/>
      <c r="W203" s="59" t="n"/>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IF(C204="","",ROW()-2)</f>
        <v/>
      </c>
      <c r="B204" s="825" t="n"/>
      <c r="C204" s="826" t="n"/>
      <c r="D204" s="827" t="n"/>
      <c r="E204" s="828" t="n"/>
      <c r="F204" s="829" t="n"/>
      <c r="G204" s="829" t="n"/>
      <c r="H204" s="830" t="n"/>
      <c r="I204" s="37" t="n"/>
      <c r="J204" s="37" t="n"/>
      <c r="K204" s="35">
        <f>IFERROR(I204+J204,0)</f>
        <v/>
      </c>
      <c r="U204" s="59" t="n"/>
      <c r="V204" s="59" t="n"/>
      <c r="W204" s="59" t="n"/>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IF(C205="","",ROW()-2)</f>
        <v/>
      </c>
      <c r="B205" s="825" t="n"/>
      <c r="C205" s="826" t="n"/>
      <c r="D205" s="827" t="n"/>
      <c r="E205" s="828" t="n"/>
      <c r="F205" s="829" t="n"/>
      <c r="G205" s="829" t="n"/>
      <c r="H205" s="830" t="n"/>
      <c r="I205" s="37" t="n"/>
      <c r="J205" s="37" t="n"/>
      <c r="K205" s="35">
        <f>IFERROR(I205+J205,0)</f>
        <v/>
      </c>
      <c r="U205" s="59" t="n"/>
      <c r="V205" s="59" t="n"/>
      <c r="W205" s="59" t="n"/>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IF(C206="","",ROW()-2)</f>
        <v/>
      </c>
      <c r="B206" s="825" t="n"/>
      <c r="C206" s="826" t="n"/>
      <c r="D206" s="827" t="n"/>
      <c r="E206" s="828" t="n"/>
      <c r="F206" s="829" t="n"/>
      <c r="G206" s="829" t="n"/>
      <c r="H206" s="830" t="n"/>
      <c r="I206" s="37" t="n"/>
      <c r="J206" s="37" t="n"/>
      <c r="K206" s="35">
        <f>IFERROR(I206+J206,0)</f>
        <v/>
      </c>
      <c r="U206" s="59" t="n"/>
      <c r="V206" s="59" t="n"/>
      <c r="W206" s="59" t="n"/>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IF(C207="","",ROW()-2)</f>
        <v/>
      </c>
      <c r="B207" s="825" t="n"/>
      <c r="C207" s="826" t="n"/>
      <c r="D207" s="827" t="n"/>
      <c r="E207" s="828" t="n"/>
      <c r="F207" s="829" t="n"/>
      <c r="G207" s="829" t="n"/>
      <c r="H207" s="830" t="n"/>
      <c r="I207" s="37" t="n"/>
      <c r="J207" s="37" t="n"/>
      <c r="K207" s="35">
        <f>IFERROR(I207+J207,0)</f>
        <v/>
      </c>
      <c r="U207" s="59" t="n"/>
      <c r="V207" s="59" t="n"/>
      <c r="W207" s="59" t="n"/>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IF(C208="","",ROW()-2)</f>
        <v/>
      </c>
      <c r="B208" s="825" t="n"/>
      <c r="C208" s="826" t="n"/>
      <c r="D208" s="827" t="n"/>
      <c r="E208" s="828" t="n"/>
      <c r="F208" s="829" t="n"/>
      <c r="G208" s="829" t="n"/>
      <c r="H208" s="830" t="n"/>
      <c r="I208" s="37" t="n"/>
      <c r="J208" s="37" t="n"/>
      <c r="K208" s="35">
        <f>IFERROR(I208+J208,0)</f>
        <v/>
      </c>
      <c r="U208" s="59" t="n"/>
      <c r="V208" s="59" t="n"/>
      <c r="W208" s="59" t="n"/>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IF(C209="","",ROW()-2)</f>
        <v/>
      </c>
      <c r="B209" s="825" t="n"/>
      <c r="C209" s="826" t="n"/>
      <c r="D209" s="827" t="n"/>
      <c r="E209" s="828" t="n"/>
      <c r="F209" s="829" t="n"/>
      <c r="G209" s="829" t="n"/>
      <c r="H209" s="830" t="n"/>
      <c r="I209" s="37" t="n"/>
      <c r="J209" s="37" t="n"/>
      <c r="K209" s="35">
        <f>IFERROR(I209+J209,0)</f>
        <v/>
      </c>
      <c r="U209" s="59" t="n"/>
      <c r="V209" s="59" t="n"/>
      <c r="W209" s="59" t="n"/>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IF(C210="","",ROW()-2)</f>
        <v/>
      </c>
      <c r="B210" s="825" t="n"/>
      <c r="C210" s="826" t="n"/>
      <c r="D210" s="827" t="n"/>
      <c r="E210" s="828" t="n"/>
      <c r="F210" s="829" t="n"/>
      <c r="G210" s="829" t="n"/>
      <c r="H210" s="830" t="n"/>
      <c r="I210" s="37" t="n"/>
      <c r="J210" s="37" t="n"/>
      <c r="K210" s="35">
        <f>IFERROR(I210+J210,0)</f>
        <v/>
      </c>
      <c r="U210" s="59" t="n"/>
      <c r="V210" s="59" t="n"/>
      <c r="W210" s="59" t="n"/>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IF(C211="","",ROW()-2)</f>
        <v/>
      </c>
      <c r="B211" s="825" t="n"/>
      <c r="C211" s="826" t="n"/>
      <c r="D211" s="827" t="n"/>
      <c r="E211" s="828" t="n"/>
      <c r="F211" s="829" t="n"/>
      <c r="G211" s="829" t="n"/>
      <c r="H211" s="830" t="n"/>
      <c r="I211" s="37" t="n"/>
      <c r="J211" s="37" t="n"/>
      <c r="K211" s="35">
        <f>IFERROR(I211+J211,0)</f>
        <v/>
      </c>
      <c r="U211" s="59" t="n"/>
      <c r="V211" s="59" t="n"/>
      <c r="W211" s="59" t="n"/>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IF(C212="","",ROW()-2)</f>
        <v/>
      </c>
      <c r="B212" s="825" t="n"/>
      <c r="C212" s="826" t="n"/>
      <c r="D212" s="827" t="n"/>
      <c r="E212" s="828" t="n"/>
      <c r="F212" s="829" t="n"/>
      <c r="G212" s="829" t="n"/>
      <c r="H212" s="830" t="n"/>
      <c r="I212" s="37" t="n"/>
      <c r="J212" s="37" t="n"/>
      <c r="K212" s="35">
        <f>IFERROR(I212+J212,0)</f>
        <v/>
      </c>
      <c r="U212" s="59" t="n"/>
      <c r="V212" s="59" t="n"/>
      <c r="W212" s="59" t="n"/>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IF(C213="","",ROW()-2)</f>
        <v/>
      </c>
      <c r="B213" s="825" t="n"/>
      <c r="C213" s="826" t="n"/>
      <c r="D213" s="827" t="n"/>
      <c r="E213" s="828" t="n"/>
      <c r="F213" s="829" t="n"/>
      <c r="G213" s="829" t="n"/>
      <c r="H213" s="830" t="n"/>
      <c r="I213" s="37" t="n"/>
      <c r="J213" s="37" t="n"/>
      <c r="K213" s="35">
        <f>IFERROR(I213+J213,0)</f>
        <v/>
      </c>
      <c r="U213" s="59" t="n"/>
      <c r="V213" s="59" t="n"/>
      <c r="W213" s="59" t="n"/>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IF(C214="","",ROW()-2)</f>
        <v/>
      </c>
      <c r="B214" s="825" t="n"/>
      <c r="C214" s="826" t="n"/>
      <c r="D214" s="827" t="n"/>
      <c r="E214" s="828" t="n"/>
      <c r="F214" s="829" t="n"/>
      <c r="G214" s="829" t="n"/>
      <c r="H214" s="830" t="n"/>
      <c r="I214" s="37" t="n"/>
      <c r="J214" s="37" t="n"/>
      <c r="K214" s="35">
        <f>IFERROR(I214+J214,0)</f>
        <v/>
      </c>
      <c r="U214" s="59" t="n"/>
      <c r="V214" s="59" t="n"/>
      <c r="W214" s="59" t="n"/>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IF(C215="","",ROW()-2)</f>
        <v/>
      </c>
      <c r="B215" s="825" t="n"/>
      <c r="C215" s="826" t="n"/>
      <c r="D215" s="827" t="n"/>
      <c r="E215" s="828" t="n"/>
      <c r="F215" s="829" t="n"/>
      <c r="G215" s="829" t="n"/>
      <c r="H215" s="830" t="n"/>
      <c r="I215" s="37" t="n"/>
      <c r="J215" s="37" t="n"/>
      <c r="K215" s="35">
        <f>IFERROR(I215+J215,0)</f>
        <v/>
      </c>
      <c r="U215" s="59" t="n"/>
      <c r="V215" s="59" t="n"/>
      <c r="W215" s="59" t="n"/>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IF(C216="","",ROW()-2)</f>
        <v/>
      </c>
      <c r="B216" s="825" t="n"/>
      <c r="C216" s="826" t="n"/>
      <c r="D216" s="827" t="n"/>
      <c r="E216" s="828" t="n"/>
      <c r="F216" s="829" t="n"/>
      <c r="G216" s="829" t="n"/>
      <c r="H216" s="830" t="n"/>
      <c r="I216" s="37" t="n"/>
      <c r="J216" s="37" t="n"/>
      <c r="K216" s="35">
        <f>IFERROR(I216+J216,0)</f>
        <v/>
      </c>
      <c r="U216" s="59" t="n"/>
      <c r="V216" s="59" t="n"/>
      <c r="W216" s="59" t="n"/>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IF(C217="","",ROW()-2)</f>
        <v/>
      </c>
      <c r="B217" s="825" t="n"/>
      <c r="C217" s="826" t="n"/>
      <c r="D217" s="827" t="n"/>
      <c r="E217" s="828" t="n"/>
      <c r="F217" s="829" t="n"/>
      <c r="G217" s="829" t="n"/>
      <c r="H217" s="830" t="n"/>
      <c r="I217" s="37" t="n"/>
      <c r="J217" s="37" t="n"/>
      <c r="K217" s="35">
        <f>IFERROR(I217+J217,0)</f>
        <v/>
      </c>
      <c r="U217" s="59" t="n"/>
      <c r="V217" s="59" t="n"/>
      <c r="W217" s="59" t="n"/>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IF(C218="","",ROW()-2)</f>
        <v/>
      </c>
      <c r="B218" s="825" t="n"/>
      <c r="C218" s="826" t="n"/>
      <c r="D218" s="827" t="n"/>
      <c r="E218" s="828" t="n"/>
      <c r="F218" s="829" t="n"/>
      <c r="G218" s="829" t="n"/>
      <c r="H218" s="830" t="n"/>
      <c r="I218" s="37" t="n"/>
      <c r="J218" s="37" t="n"/>
      <c r="K218" s="35">
        <f>IFERROR(I218+J218,0)</f>
        <v/>
      </c>
      <c r="U218" s="59" t="n"/>
      <c r="V218" s="59" t="n"/>
      <c r="W218" s="59" t="n"/>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IF(C219="","",ROW()-2)</f>
        <v/>
      </c>
      <c r="B219" s="825" t="n"/>
      <c r="C219" s="826" t="n"/>
      <c r="D219" s="827" t="n"/>
      <c r="E219" s="828" t="n"/>
      <c r="F219" s="829" t="n"/>
      <c r="G219" s="829" t="n"/>
      <c r="H219" s="830" t="n"/>
      <c r="I219" s="37" t="n"/>
      <c r="J219" s="37" t="n"/>
      <c r="K219" s="35">
        <f>IFERROR(I219+J219,0)</f>
        <v/>
      </c>
      <c r="U219" s="59" t="n"/>
      <c r="V219" s="59" t="n"/>
      <c r="W219" s="59" t="n"/>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IF(C220="","",ROW()-2)</f>
        <v/>
      </c>
      <c r="B220" s="825" t="n"/>
      <c r="C220" s="826" t="n"/>
      <c r="D220" s="827" t="n"/>
      <c r="E220" s="828" t="n"/>
      <c r="F220" s="829" t="n"/>
      <c r="G220" s="829" t="n"/>
      <c r="H220" s="830" t="n"/>
      <c r="I220" s="37" t="n"/>
      <c r="J220" s="37" t="n"/>
      <c r="K220" s="35">
        <f>IFERROR(I220+J220,0)</f>
        <v/>
      </c>
      <c r="U220" s="59" t="n"/>
      <c r="V220" s="59" t="n"/>
      <c r="W220" s="59" t="n"/>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IF(C221="","",ROW()-2)</f>
        <v/>
      </c>
      <c r="B221" s="825" t="n"/>
      <c r="C221" s="826" t="n"/>
      <c r="D221" s="827" t="n"/>
      <c r="E221" s="828" t="n"/>
      <c r="F221" s="829" t="n"/>
      <c r="G221" s="829" t="n"/>
      <c r="H221" s="830" t="n"/>
      <c r="I221" s="37" t="n"/>
      <c r="J221" s="37" t="n"/>
      <c r="K221" s="35">
        <f>IFERROR(I221+J221,0)</f>
        <v/>
      </c>
      <c r="U221" s="59" t="n"/>
      <c r="V221" s="59" t="n"/>
      <c r="W221" s="59" t="n"/>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IF(C222="","",ROW()-2)</f>
        <v/>
      </c>
      <c r="B222" s="825" t="n"/>
      <c r="C222" s="826" t="n"/>
      <c r="D222" s="827" t="n"/>
      <c r="E222" s="828" t="n"/>
      <c r="F222" s="829" t="n"/>
      <c r="G222" s="829" t="n"/>
      <c r="H222" s="830" t="n"/>
      <c r="I222" s="37" t="n"/>
      <c r="J222" s="37" t="n"/>
      <c r="K222" s="35">
        <f>IFERROR(I222+J222,0)</f>
        <v/>
      </c>
      <c r="U222" s="59" t="n"/>
      <c r="V222" s="59" t="n"/>
      <c r="W222" s="59" t="n"/>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IF(C223="","",ROW()-2)</f>
        <v/>
      </c>
      <c r="B223" s="825" t="n"/>
      <c r="C223" s="826" t="n"/>
      <c r="D223" s="827" t="n"/>
      <c r="E223" s="828" t="n"/>
      <c r="F223" s="829" t="n"/>
      <c r="G223" s="829" t="n"/>
      <c r="H223" s="830" t="n"/>
      <c r="I223" s="37" t="n"/>
      <c r="J223" s="37" t="n"/>
      <c r="K223" s="35">
        <f>IFERROR(I223+J223,0)</f>
        <v/>
      </c>
      <c r="U223" s="59" t="n"/>
      <c r="V223" s="59" t="n"/>
      <c r="W223" s="59" t="n"/>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IF(C224="","",ROW()-2)</f>
        <v/>
      </c>
      <c r="B224" s="825" t="n"/>
      <c r="C224" s="826" t="n"/>
      <c r="D224" s="827" t="n"/>
      <c r="E224" s="828" t="n"/>
      <c r="F224" s="829" t="n"/>
      <c r="G224" s="829" t="n"/>
      <c r="H224" s="830" t="n"/>
      <c r="I224" s="37" t="n"/>
      <c r="J224" s="37" t="n"/>
      <c r="K224" s="35">
        <f>IFERROR(I224+J224,0)</f>
        <v/>
      </c>
      <c r="U224" s="59" t="n"/>
      <c r="V224" s="59" t="n"/>
      <c r="W224" s="59" t="n"/>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IF(C225="","",ROW()-2)</f>
        <v/>
      </c>
      <c r="B225" s="825" t="n"/>
      <c r="C225" s="826" t="n"/>
      <c r="D225" s="827" t="n"/>
      <c r="E225" s="828" t="n"/>
      <c r="F225" s="829" t="n"/>
      <c r="G225" s="829" t="n"/>
      <c r="H225" s="830" t="n"/>
      <c r="I225" s="37" t="n"/>
      <c r="J225" s="37" t="n"/>
      <c r="K225" s="35">
        <f>IFERROR(I225+J225,0)</f>
        <v/>
      </c>
      <c r="U225" s="59" t="n"/>
      <c r="V225" s="59" t="n"/>
      <c r="W225" s="59" t="n"/>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IF(C226="","",ROW()-2)</f>
        <v/>
      </c>
      <c r="B226" s="825" t="n"/>
      <c r="C226" s="826" t="n"/>
      <c r="D226" s="827" t="n"/>
      <c r="E226" s="828" t="n"/>
      <c r="F226" s="829" t="n"/>
      <c r="G226" s="829" t="n"/>
      <c r="H226" s="830" t="n"/>
      <c r="I226" s="37" t="n"/>
      <c r="J226" s="37" t="n"/>
      <c r="K226" s="35">
        <f>IFERROR(I226+J226,0)</f>
        <v/>
      </c>
      <c r="U226" s="59" t="n"/>
      <c r="V226" s="59" t="n"/>
      <c r="W226" s="59" t="n"/>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IF(C227="","",ROW()-2)</f>
        <v/>
      </c>
      <c r="B227" s="825" t="n"/>
      <c r="C227" s="826" t="n"/>
      <c r="D227" s="827" t="n"/>
      <c r="E227" s="828" t="n"/>
      <c r="F227" s="829" t="n"/>
      <c r="G227" s="829" t="n"/>
      <c r="H227" s="830" t="n"/>
      <c r="I227" s="37" t="n"/>
      <c r="J227" s="37" t="n"/>
      <c r="K227" s="35">
        <f>IFERROR(I227+J227,0)</f>
        <v/>
      </c>
      <c r="U227" s="59" t="n"/>
      <c r="V227" s="59" t="n"/>
      <c r="W227" s="59" t="n"/>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IF(C228="","",ROW()-2)</f>
        <v/>
      </c>
      <c r="B228" s="825" t="n"/>
      <c r="C228" s="826" t="n"/>
      <c r="D228" s="827" t="n"/>
      <c r="E228" s="828" t="n"/>
      <c r="F228" s="829" t="n"/>
      <c r="G228" s="829" t="n"/>
      <c r="H228" s="830" t="n"/>
      <c r="I228" s="37" t="n"/>
      <c r="J228" s="37" t="n"/>
      <c r="K228" s="35">
        <f>IFERROR(I228+J228,0)</f>
        <v/>
      </c>
      <c r="U228" s="59" t="n"/>
      <c r="V228" s="59" t="n"/>
      <c r="W228" s="59" t="n"/>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IF(C229="","",ROW()-2)</f>
        <v/>
      </c>
      <c r="B229" s="825" t="n"/>
      <c r="C229" s="826" t="n"/>
      <c r="D229" s="827" t="n"/>
      <c r="E229" s="828" t="n"/>
      <c r="F229" s="829" t="n"/>
      <c r="G229" s="829" t="n"/>
      <c r="H229" s="830" t="n"/>
      <c r="I229" s="37" t="n"/>
      <c r="J229" s="37" t="n"/>
      <c r="K229" s="35">
        <f>IFERROR(I229+J229,0)</f>
        <v/>
      </c>
      <c r="U229" s="59" t="n"/>
      <c r="V229" s="59" t="n"/>
      <c r="W229" s="59" t="n"/>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IF(C230="","",ROW()-2)</f>
        <v/>
      </c>
      <c r="B230" s="825" t="n"/>
      <c r="C230" s="826" t="n"/>
      <c r="D230" s="827" t="n"/>
      <c r="E230" s="828" t="n"/>
      <c r="F230" s="829" t="n"/>
      <c r="G230" s="829" t="n"/>
      <c r="H230" s="830" t="n"/>
      <c r="I230" s="37" t="n"/>
      <c r="J230" s="37" t="n"/>
      <c r="K230" s="35">
        <f>IFERROR(I230+J230,0)</f>
        <v/>
      </c>
      <c r="U230" s="59" t="n"/>
      <c r="V230" s="59" t="n"/>
      <c r="W230" s="59" t="n"/>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IF(C231="","",ROW()-2)</f>
        <v/>
      </c>
      <c r="B231" s="825" t="n"/>
      <c r="C231" s="826" t="n"/>
      <c r="D231" s="827" t="n"/>
      <c r="E231" s="828" t="n"/>
      <c r="F231" s="829" t="n"/>
      <c r="G231" s="829" t="n"/>
      <c r="H231" s="830" t="n"/>
      <c r="I231" s="37" t="n"/>
      <c r="J231" s="37" t="n"/>
      <c r="K231" s="35">
        <f>IFERROR(I231+J231,0)</f>
        <v/>
      </c>
      <c r="U231" s="59" t="n"/>
      <c r="V231" s="59" t="n"/>
      <c r="W231" s="59" t="n"/>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IF(C232="","",ROW()-2)</f>
        <v/>
      </c>
      <c r="B232" s="825" t="n"/>
      <c r="C232" s="826" t="n"/>
      <c r="D232" s="827" t="n"/>
      <c r="E232" s="828" t="n"/>
      <c r="F232" s="829" t="n"/>
      <c r="G232" s="829" t="n"/>
      <c r="H232" s="830" t="n"/>
      <c r="I232" s="37" t="n"/>
      <c r="J232" s="37" t="n"/>
      <c r="K232" s="35">
        <f>IFERROR(I232+J232,0)</f>
        <v/>
      </c>
      <c r="U232" s="59" t="n"/>
      <c r="V232" s="59" t="n"/>
      <c r="W232" s="59" t="n"/>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IF(C233="","",ROW()-2)</f>
        <v/>
      </c>
      <c r="B233" s="825" t="n"/>
      <c r="C233" s="826" t="n"/>
      <c r="D233" s="827" t="n"/>
      <c r="E233" s="828" t="n"/>
      <c r="F233" s="829" t="n"/>
      <c r="G233" s="829" t="n"/>
      <c r="H233" s="830" t="n"/>
      <c r="I233" s="37" t="n"/>
      <c r="J233" s="37" t="n"/>
      <c r="K233" s="35">
        <f>IFERROR(I233+J233,0)</f>
        <v/>
      </c>
      <c r="U233" s="59" t="n"/>
      <c r="V233" s="59" t="n"/>
      <c r="W233" s="59" t="n"/>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IF(C234="","",ROW()-2)</f>
        <v/>
      </c>
      <c r="B234" s="825" t="n"/>
      <c r="C234" s="826" t="n"/>
      <c r="D234" s="827" t="n"/>
      <c r="E234" s="828" t="n"/>
      <c r="F234" s="829" t="n"/>
      <c r="G234" s="829" t="n"/>
      <c r="H234" s="830" t="n"/>
      <c r="I234" s="37" t="n"/>
      <c r="J234" s="37" t="n"/>
      <c r="K234" s="35">
        <f>IFERROR(I234+J234,0)</f>
        <v/>
      </c>
      <c r="U234" s="59" t="n"/>
      <c r="V234" s="59" t="n"/>
      <c r="W234" s="59" t="n"/>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IF(C235="","",ROW()-2)</f>
        <v/>
      </c>
      <c r="B235" s="825" t="n"/>
      <c r="C235" s="826" t="n"/>
      <c r="D235" s="827" t="n"/>
      <c r="E235" s="828" t="n"/>
      <c r="F235" s="829" t="n"/>
      <c r="G235" s="829" t="n"/>
      <c r="H235" s="830" t="n"/>
      <c r="I235" s="37" t="n"/>
      <c r="J235" s="37" t="n"/>
      <c r="K235" s="35">
        <f>IFERROR(I235+J235,0)</f>
        <v/>
      </c>
      <c r="U235" s="59" t="n"/>
      <c r="V235" s="59" t="n"/>
      <c r="W235" s="59" t="n"/>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IF(C236="","",ROW()-2)</f>
        <v/>
      </c>
      <c r="B236" s="825" t="n"/>
      <c r="C236" s="826" t="n"/>
      <c r="D236" s="827" t="n"/>
      <c r="E236" s="828" t="n"/>
      <c r="F236" s="829" t="n"/>
      <c r="G236" s="829" t="n"/>
      <c r="H236" s="830" t="n"/>
      <c r="I236" s="37" t="n"/>
      <c r="J236" s="37" t="n"/>
      <c r="K236" s="35">
        <f>IFERROR(I236+J236,0)</f>
        <v/>
      </c>
      <c r="U236" s="59" t="n"/>
      <c r="V236" s="59" t="n"/>
      <c r="W236" s="59" t="n"/>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IF(C237="","",ROW()-2)</f>
        <v/>
      </c>
      <c r="B237" s="825" t="n"/>
      <c r="C237" s="826" t="n"/>
      <c r="D237" s="827" t="n"/>
      <c r="E237" s="828" t="n"/>
      <c r="F237" s="829" t="n"/>
      <c r="G237" s="829" t="n"/>
      <c r="H237" s="830" t="n"/>
      <c r="I237" s="37" t="n"/>
      <c r="J237" s="37" t="n"/>
      <c r="K237" s="35">
        <f>IFERROR(I237+J237,0)</f>
        <v/>
      </c>
      <c r="U237" s="59" t="n"/>
      <c r="V237" s="59" t="n"/>
      <c r="W237" s="59" t="n"/>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IF(C238="","",ROW()-2)</f>
        <v/>
      </c>
      <c r="B238" s="825" t="n"/>
      <c r="C238" s="826" t="n"/>
      <c r="D238" s="827" t="n"/>
      <c r="E238" s="828" t="n"/>
      <c r="F238" s="829" t="n"/>
      <c r="G238" s="829" t="n"/>
      <c r="H238" s="830" t="n"/>
      <c r="I238" s="37" t="n"/>
      <c r="J238" s="37" t="n"/>
      <c r="K238" s="35">
        <f>IFERROR(I238+J238,0)</f>
        <v/>
      </c>
      <c r="U238" s="59" t="n"/>
      <c r="V238" s="59" t="n"/>
      <c r="W238" s="59" t="n"/>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IF(C239="","",ROW()-2)</f>
        <v/>
      </c>
      <c r="B239" s="825" t="n"/>
      <c r="C239" s="826" t="n"/>
      <c r="D239" s="827" t="n"/>
      <c r="E239" s="828" t="n"/>
      <c r="F239" s="829" t="n"/>
      <c r="G239" s="829" t="n"/>
      <c r="H239" s="830" t="n"/>
      <c r="I239" s="37" t="n"/>
      <c r="J239" s="37" t="n"/>
      <c r="K239" s="35">
        <f>IFERROR(I239+J239,0)</f>
        <v/>
      </c>
      <c r="U239" s="59" t="n"/>
      <c r="V239" s="59" t="n"/>
      <c r="W239" s="59" t="n"/>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IF(C240="","",ROW()-2)</f>
        <v/>
      </c>
      <c r="B240" s="825" t="n"/>
      <c r="C240" s="826" t="n"/>
      <c r="D240" s="827" t="n"/>
      <c r="E240" s="828" t="n"/>
      <c r="F240" s="829" t="n"/>
      <c r="G240" s="829" t="n"/>
      <c r="H240" s="830" t="n"/>
      <c r="I240" s="37" t="n"/>
      <c r="J240" s="37" t="n"/>
      <c r="K240" s="35">
        <f>IFERROR(I240+J240,0)</f>
        <v/>
      </c>
      <c r="U240" s="59" t="n"/>
      <c r="V240" s="59" t="n"/>
      <c r="W240" s="59" t="n"/>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IF(C241="","",ROW()-2)</f>
        <v/>
      </c>
      <c r="B241" s="825" t="n"/>
      <c r="C241" s="826" t="n"/>
      <c r="D241" s="827" t="n"/>
      <c r="E241" s="828" t="n"/>
      <c r="F241" s="829" t="n"/>
      <c r="G241" s="829" t="n"/>
      <c r="H241" s="830" t="n"/>
      <c r="I241" s="37" t="n"/>
      <c r="J241" s="37" t="n"/>
      <c r="K241" s="35">
        <f>IFERROR(I241+J241,0)</f>
        <v/>
      </c>
      <c r="U241" s="59" t="n"/>
      <c r="V241" s="59" t="n"/>
      <c r="W241" s="59" t="n"/>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IF(C242="","",ROW()-2)</f>
        <v/>
      </c>
      <c r="B242" s="825" t="n"/>
      <c r="C242" s="826" t="n"/>
      <c r="D242" s="827" t="n"/>
      <c r="E242" s="828" t="n"/>
      <c r="F242" s="829" t="n"/>
      <c r="G242" s="829" t="n"/>
      <c r="H242" s="830" t="n"/>
      <c r="I242" s="37" t="n"/>
      <c r="J242" s="37" t="n"/>
      <c r="K242" s="35">
        <f>IFERROR(I242+J242,0)</f>
        <v/>
      </c>
      <c r="U242" s="59" t="n"/>
      <c r="V242" s="59" t="n"/>
      <c r="W242" s="59" t="n"/>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IF(C243="","",ROW()-2)</f>
        <v/>
      </c>
      <c r="B243" s="825" t="n"/>
      <c r="C243" s="826" t="n"/>
      <c r="D243" s="827" t="n"/>
      <c r="E243" s="828" t="n"/>
      <c r="F243" s="829" t="n"/>
      <c r="G243" s="829" t="n"/>
      <c r="H243" s="830" t="n"/>
      <c r="I243" s="37" t="n"/>
      <c r="J243" s="37" t="n"/>
      <c r="K243" s="35">
        <f>IFERROR(I243+J243,0)</f>
        <v/>
      </c>
      <c r="U243" s="59" t="n"/>
      <c r="V243" s="59" t="n"/>
      <c r="W243" s="59" t="n"/>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IF(C244="","",ROW()-2)</f>
        <v/>
      </c>
      <c r="B244" s="825" t="n"/>
      <c r="C244" s="826" t="n"/>
      <c r="D244" s="827" t="n"/>
      <c r="E244" s="828" t="n"/>
      <c r="F244" s="829" t="n"/>
      <c r="G244" s="829" t="n"/>
      <c r="H244" s="830" t="n"/>
      <c r="I244" s="37" t="n"/>
      <c r="J244" s="37" t="n"/>
      <c r="K244" s="35">
        <f>IFERROR(I244+J244,0)</f>
        <v/>
      </c>
      <c r="U244" s="59" t="n"/>
      <c r="V244" s="59" t="n"/>
      <c r="W244" s="59" t="n"/>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IF(C245="","",ROW()-2)</f>
        <v/>
      </c>
      <c r="B245" s="825" t="n"/>
      <c r="C245" s="826" t="n"/>
      <c r="D245" s="827" t="n"/>
      <c r="E245" s="828" t="n"/>
      <c r="F245" s="829" t="n"/>
      <c r="G245" s="829" t="n"/>
      <c r="H245" s="830" t="n"/>
      <c r="I245" s="37" t="n"/>
      <c r="J245" s="37" t="n"/>
      <c r="K245" s="35">
        <f>IFERROR(I245+J245,0)</f>
        <v/>
      </c>
      <c r="U245" s="59" t="n"/>
      <c r="V245" s="59" t="n"/>
      <c r="W245" s="59" t="n"/>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IF(C246="","",ROW()-2)</f>
        <v/>
      </c>
      <c r="B246" s="825" t="n"/>
      <c r="C246" s="826" t="n"/>
      <c r="D246" s="827" t="n"/>
      <c r="E246" s="828" t="n"/>
      <c r="F246" s="829" t="n"/>
      <c r="G246" s="829" t="n"/>
      <c r="H246" s="830" t="n"/>
      <c r="I246" s="37" t="n"/>
      <c r="J246" s="37" t="n"/>
      <c r="K246" s="35">
        <f>IFERROR(I246+J246,0)</f>
        <v/>
      </c>
      <c r="U246" s="59" t="n"/>
      <c r="V246" s="59" t="n"/>
      <c r="W246" s="59" t="n"/>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IF(C247="","",ROW()-2)</f>
        <v/>
      </c>
      <c r="B247" s="825" t="n"/>
      <c r="C247" s="826" t="n"/>
      <c r="D247" s="827" t="n"/>
      <c r="E247" s="828" t="n"/>
      <c r="F247" s="829" t="n"/>
      <c r="G247" s="829" t="n"/>
      <c r="H247" s="830" t="n"/>
      <c r="I247" s="37" t="n"/>
      <c r="J247" s="37" t="n"/>
      <c r="K247" s="35">
        <f>IFERROR(I247+J247,0)</f>
        <v/>
      </c>
      <c r="U247" s="59" t="n"/>
      <c r="V247" s="59" t="n"/>
      <c r="W247" s="59" t="n"/>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IF(C248="","",ROW()-2)</f>
        <v/>
      </c>
      <c r="B248" s="825" t="n"/>
      <c r="C248" s="826" t="n"/>
      <c r="D248" s="827" t="n"/>
      <c r="E248" s="828" t="n"/>
      <c r="F248" s="829" t="n"/>
      <c r="G248" s="829" t="n"/>
      <c r="H248" s="830" t="n"/>
      <c r="I248" s="37" t="n"/>
      <c r="J248" s="37" t="n"/>
      <c r="K248" s="35">
        <f>IFERROR(I248+J248,0)</f>
        <v/>
      </c>
      <c r="U248" s="59" t="n"/>
      <c r="V248" s="59" t="n"/>
      <c r="W248" s="59" t="n"/>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IF(C249="","",ROW()-2)</f>
        <v/>
      </c>
      <c r="B249" s="825" t="n"/>
      <c r="C249" s="826" t="n"/>
      <c r="D249" s="827" t="n"/>
      <c r="E249" s="828" t="n"/>
      <c r="F249" s="829" t="n"/>
      <c r="G249" s="829" t="n"/>
      <c r="H249" s="830" t="n"/>
      <c r="I249" s="37" t="n"/>
      <c r="J249" s="37" t="n"/>
      <c r="K249" s="35">
        <f>IFERROR(I249+J249,0)</f>
        <v/>
      </c>
      <c r="U249" s="59" t="n"/>
      <c r="V249" s="59" t="n"/>
      <c r="W249" s="59" t="n"/>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IF(C250="","",ROW()-2)</f>
        <v/>
      </c>
      <c r="B250" s="825" t="n"/>
      <c r="C250" s="826" t="n"/>
      <c r="D250" s="827" t="n"/>
      <c r="E250" s="828" t="n"/>
      <c r="F250" s="829" t="n"/>
      <c r="G250" s="829" t="n"/>
      <c r="H250" s="830" t="n"/>
      <c r="I250" s="37" t="n"/>
      <c r="J250" s="37" t="n"/>
      <c r="K250" s="35">
        <f>IFERROR(I250+J250,0)</f>
        <v/>
      </c>
      <c r="U250" s="59" t="n"/>
      <c r="V250" s="59" t="n"/>
      <c r="W250" s="59" t="n"/>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IF(C251="","",ROW()-2)</f>
        <v/>
      </c>
      <c r="B251" s="825" t="n"/>
      <c r="C251" s="826" t="n"/>
      <c r="D251" s="827" t="n"/>
      <c r="E251" s="828" t="n"/>
      <c r="F251" s="829" t="n"/>
      <c r="G251" s="829" t="n"/>
      <c r="H251" s="830" t="n"/>
      <c r="I251" s="37" t="n"/>
      <c r="J251" s="37" t="n"/>
      <c r="K251" s="35">
        <f>IFERROR(I251+J251,0)</f>
        <v/>
      </c>
      <c r="U251" s="59" t="n"/>
      <c r="V251" s="59" t="n"/>
      <c r="W251" s="59" t="n"/>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IF(C252="","",ROW()-2)</f>
        <v/>
      </c>
      <c r="B252" s="825" t="n"/>
      <c r="C252" s="826" t="n"/>
      <c r="D252" s="827" t="n"/>
      <c r="E252" s="828" t="n"/>
      <c r="F252" s="829" t="n"/>
      <c r="G252" s="829" t="n"/>
      <c r="H252" s="830" t="n"/>
      <c r="I252" s="37" t="n"/>
      <c r="J252" s="37" t="n"/>
      <c r="K252" s="35">
        <f>IFERROR(I252+J252,0)</f>
        <v/>
      </c>
      <c r="U252" s="59" t="n"/>
      <c r="V252" s="59" t="n"/>
      <c r="W252" s="59" t="n"/>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IF(C253="","",ROW()-2)</f>
        <v/>
      </c>
      <c r="B253" s="825" t="n"/>
      <c r="C253" s="826" t="n"/>
      <c r="D253" s="827" t="n"/>
      <c r="E253" s="828" t="n"/>
      <c r="F253" s="829" t="n"/>
      <c r="G253" s="829" t="n"/>
      <c r="H253" s="830" t="n"/>
      <c r="I253" s="37" t="n"/>
      <c r="J253" s="37" t="n"/>
      <c r="K253" s="35">
        <f>IFERROR(I253+J253,0)</f>
        <v/>
      </c>
      <c r="U253" s="59" t="n"/>
      <c r="V253" s="59" t="n"/>
      <c r="W253" s="59" t="n"/>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IF(C254="","",ROW()-2)</f>
        <v/>
      </c>
      <c r="B254" s="825" t="n"/>
      <c r="C254" s="826" t="n"/>
      <c r="D254" s="827" t="n"/>
      <c r="E254" s="828" t="n"/>
      <c r="F254" s="829" t="n"/>
      <c r="G254" s="829" t="n"/>
      <c r="H254" s="830" t="n"/>
      <c r="I254" s="37" t="n"/>
      <c r="J254" s="37" t="n"/>
      <c r="K254" s="35">
        <f>IFERROR(I254+J254,0)</f>
        <v/>
      </c>
      <c r="U254" s="59" t="n"/>
      <c r="V254" s="59" t="n"/>
      <c r="W254" s="59" t="n"/>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IF(C255="","",ROW()-2)</f>
        <v/>
      </c>
      <c r="B255" s="825" t="n"/>
      <c r="C255" s="826" t="n"/>
      <c r="D255" s="827" t="n"/>
      <c r="E255" s="828" t="n"/>
      <c r="F255" s="829" t="n"/>
      <c r="G255" s="829" t="n"/>
      <c r="H255" s="830" t="n"/>
      <c r="I255" s="37" t="n"/>
      <c r="J255" s="37" t="n"/>
      <c r="K255" s="35">
        <f>IFERROR(I255+J255,0)</f>
        <v/>
      </c>
      <c r="U255" s="59" t="n"/>
      <c r="V255" s="59" t="n"/>
      <c r="W255" s="59" t="n"/>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IF(C256="","",ROW()-2)</f>
        <v/>
      </c>
      <c r="B256" s="825" t="n"/>
      <c r="C256" s="826" t="n"/>
      <c r="D256" s="827" t="n"/>
      <c r="E256" s="828" t="n"/>
      <c r="F256" s="829" t="n"/>
      <c r="G256" s="829" t="n"/>
      <c r="H256" s="830" t="n"/>
      <c r="I256" s="37" t="n"/>
      <c r="J256" s="37" t="n"/>
      <c r="K256" s="35">
        <f>IFERROR(I256+J256,0)</f>
        <v/>
      </c>
      <c r="U256" s="59" t="n"/>
      <c r="V256" s="59" t="n"/>
      <c r="W256" s="59" t="n"/>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IF(C257="","",ROW()-2)</f>
        <v/>
      </c>
      <c r="B257" s="825" t="n"/>
      <c r="C257" s="826" t="n"/>
      <c r="D257" s="827" t="n"/>
      <c r="E257" s="828" t="n"/>
      <c r="F257" s="829" t="n"/>
      <c r="G257" s="829" t="n"/>
      <c r="H257" s="830" t="n"/>
      <c r="I257" s="37" t="n"/>
      <c r="J257" s="37" t="n"/>
      <c r="K257" s="35">
        <f>IFERROR(I257+J257,0)</f>
        <v/>
      </c>
      <c r="U257" s="59" t="n"/>
      <c r="V257" s="59" t="n"/>
      <c r="W257" s="59" t="n"/>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IF(C258="","",ROW()-2)</f>
        <v/>
      </c>
      <c r="B258" s="825" t="n"/>
      <c r="C258" s="826" t="n"/>
      <c r="D258" s="827" t="n"/>
      <c r="E258" s="828" t="n"/>
      <c r="F258" s="829" t="n"/>
      <c r="G258" s="829" t="n"/>
      <c r="H258" s="830" t="n"/>
      <c r="I258" s="37" t="n"/>
      <c r="J258" s="37" t="n"/>
      <c r="K258" s="35">
        <f>IFERROR(I258+J258,0)</f>
        <v/>
      </c>
      <c r="U258" s="59" t="n"/>
      <c r="V258" s="59" t="n"/>
      <c r="W258" s="59" t="n"/>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IF(C259="","",ROW()-2)</f>
        <v/>
      </c>
      <c r="B259" s="825" t="n"/>
      <c r="C259" s="826" t="n"/>
      <c r="D259" s="827" t="n"/>
      <c r="E259" s="828" t="n"/>
      <c r="F259" s="829" t="n"/>
      <c r="G259" s="829" t="n"/>
      <c r="H259" s="830" t="n"/>
      <c r="I259" s="37" t="n"/>
      <c r="J259" s="37" t="n"/>
      <c r="K259" s="35">
        <f>IFERROR(I259+J259,0)</f>
        <v/>
      </c>
      <c r="U259" s="59" t="n"/>
      <c r="V259" s="59" t="n"/>
      <c r="W259" s="59" t="n"/>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IF(C260="","",ROW()-2)</f>
        <v/>
      </c>
      <c r="B260" s="825" t="n"/>
      <c r="C260" s="826" t="n"/>
      <c r="D260" s="827" t="n"/>
      <c r="E260" s="828" t="n"/>
      <c r="F260" s="829" t="n"/>
      <c r="G260" s="829" t="n"/>
      <c r="H260" s="830" t="n"/>
      <c r="I260" s="37" t="n"/>
      <c r="J260" s="37" t="n"/>
      <c r="K260" s="35">
        <f>IFERROR(I260+J260,0)</f>
        <v/>
      </c>
      <c r="U260" s="59" t="n"/>
      <c r="V260" s="59" t="n"/>
      <c r="W260" s="59" t="n"/>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IF(C261="","",ROW()-2)</f>
        <v/>
      </c>
      <c r="B261" s="825" t="n"/>
      <c r="C261" s="826" t="n"/>
      <c r="D261" s="827" t="n"/>
      <c r="E261" s="828" t="n"/>
      <c r="F261" s="829" t="n"/>
      <c r="G261" s="829" t="n"/>
      <c r="H261" s="830" t="n"/>
      <c r="I261" s="37" t="n"/>
      <c r="J261" s="37" t="n"/>
      <c r="K261" s="35">
        <f>IFERROR(I261+J261,0)</f>
        <v/>
      </c>
      <c r="U261" s="59" t="n"/>
      <c r="V261" s="59" t="n"/>
      <c r="W261" s="59" t="n"/>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IF(C262="","",ROW()-2)</f>
        <v/>
      </c>
      <c r="B262" s="825" t="n"/>
      <c r="C262" s="826" t="n"/>
      <c r="D262" s="827" t="n"/>
      <c r="E262" s="828" t="n"/>
      <c r="F262" s="829" t="n"/>
      <c r="G262" s="829" t="n"/>
      <c r="H262" s="830" t="n"/>
      <c r="I262" s="37" t="n"/>
      <c r="J262" s="37" t="n"/>
      <c r="K262" s="35">
        <f>IFERROR(I262+J262,0)</f>
        <v/>
      </c>
      <c r="U262" s="59" t="n"/>
      <c r="V262" s="59" t="n"/>
      <c r="W262" s="59" t="n"/>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IF(C263="","",ROW()-2)</f>
        <v/>
      </c>
      <c r="B263" s="825" t="n"/>
      <c r="C263" s="826" t="n"/>
      <c r="D263" s="827" t="n"/>
      <c r="E263" s="828" t="n"/>
      <c r="F263" s="829" t="n"/>
      <c r="G263" s="829" t="n"/>
      <c r="H263" s="830" t="n"/>
      <c r="I263" s="37" t="n"/>
      <c r="J263" s="37" t="n"/>
      <c r="K263" s="35">
        <f>IFERROR(I263+J263,0)</f>
        <v/>
      </c>
      <c r="U263" s="59" t="n"/>
      <c r="V263" s="59" t="n"/>
      <c r="W263" s="59" t="n"/>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IF(C264="","",ROW()-2)</f>
        <v/>
      </c>
      <c r="B264" s="825" t="n"/>
      <c r="C264" s="826" t="n"/>
      <c r="D264" s="827" t="n"/>
      <c r="E264" s="828" t="n"/>
      <c r="F264" s="829" t="n"/>
      <c r="G264" s="829" t="n"/>
      <c r="H264" s="830" t="n"/>
      <c r="I264" s="37" t="n"/>
      <c r="J264" s="37" t="n"/>
      <c r="K264" s="35">
        <f>IFERROR(I264+J264,0)</f>
        <v/>
      </c>
      <c r="U264" s="59" t="n"/>
      <c r="V264" s="59" t="n"/>
      <c r="W264" s="59" t="n"/>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IF(C265="","",ROW()-2)</f>
        <v/>
      </c>
      <c r="B265" s="825" t="n"/>
      <c r="C265" s="826" t="n"/>
      <c r="D265" s="827" t="n"/>
      <c r="E265" s="828" t="n"/>
      <c r="F265" s="829" t="n"/>
      <c r="G265" s="829" t="n"/>
      <c r="H265" s="830" t="n"/>
      <c r="I265" s="37" t="n"/>
      <c r="J265" s="37" t="n"/>
      <c r="K265" s="35">
        <f>IFERROR(I265+J265,0)</f>
        <v/>
      </c>
      <c r="U265" s="59" t="n"/>
      <c r="V265" s="59" t="n"/>
      <c r="W265" s="59" t="n"/>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IF(C266="","",ROW()-2)</f>
        <v/>
      </c>
      <c r="B266" s="825" t="n"/>
      <c r="C266" s="826" t="n"/>
      <c r="D266" s="827" t="n"/>
      <c r="E266" s="828" t="n"/>
      <c r="F266" s="829" t="n"/>
      <c r="G266" s="829" t="n"/>
      <c r="H266" s="830" t="n"/>
      <c r="I266" s="37" t="n"/>
      <c r="J266" s="37" t="n"/>
      <c r="K266" s="35">
        <f>IFERROR(I266+J266,0)</f>
        <v/>
      </c>
      <c r="U266" s="59" t="n"/>
      <c r="V266" s="59" t="n"/>
      <c r="W266" s="59" t="n"/>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IF(C267="","",ROW()-2)</f>
        <v/>
      </c>
      <c r="B267" s="825" t="n"/>
      <c r="C267" s="826" t="n"/>
      <c r="D267" s="827" t="n"/>
      <c r="E267" s="828" t="n"/>
      <c r="F267" s="829" t="n"/>
      <c r="G267" s="829" t="n"/>
      <c r="H267" s="830" t="n"/>
      <c r="I267" s="37" t="n"/>
      <c r="J267" s="37" t="n"/>
      <c r="K267" s="35">
        <f>IFERROR(I267+J267,0)</f>
        <v/>
      </c>
      <c r="U267" s="59" t="n"/>
      <c r="V267" s="59" t="n"/>
      <c r="W267" s="59" t="n"/>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IF(C268="","",ROW()-2)</f>
        <v/>
      </c>
      <c r="B268" s="825" t="n"/>
      <c r="C268" s="826" t="n"/>
      <c r="D268" s="827" t="n"/>
      <c r="E268" s="828" t="n"/>
      <c r="F268" s="829" t="n"/>
      <c r="G268" s="829" t="n"/>
      <c r="H268" s="830" t="n"/>
      <c r="I268" s="37" t="n"/>
      <c r="J268" s="37" t="n"/>
      <c r="K268" s="35">
        <f>IFERROR(I268+J268,0)</f>
        <v/>
      </c>
      <c r="U268" s="59" t="n"/>
      <c r="V268" s="59" t="n"/>
      <c r="W268" s="59" t="n"/>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IF(C269="","",ROW()-2)</f>
        <v/>
      </c>
      <c r="B269" s="825" t="n"/>
      <c r="C269" s="826" t="n"/>
      <c r="D269" s="827" t="n"/>
      <c r="E269" s="828" t="n"/>
      <c r="F269" s="829" t="n"/>
      <c r="G269" s="829" t="n"/>
      <c r="H269" s="830" t="n"/>
      <c r="I269" s="37" t="n"/>
      <c r="J269" s="37" t="n"/>
      <c r="K269" s="35">
        <f>IFERROR(I269+J269,0)</f>
        <v/>
      </c>
      <c r="U269" s="59" t="n"/>
      <c r="V269" s="59" t="n"/>
      <c r="W269" s="59" t="n"/>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IF(C270="","",ROW()-2)</f>
        <v/>
      </c>
      <c r="B270" s="825" t="n"/>
      <c r="C270" s="826" t="n"/>
      <c r="D270" s="827" t="n"/>
      <c r="E270" s="828" t="n"/>
      <c r="F270" s="829" t="n"/>
      <c r="G270" s="829" t="n"/>
      <c r="H270" s="830" t="n"/>
      <c r="I270" s="37" t="n"/>
      <c r="J270" s="37" t="n"/>
      <c r="K270" s="35">
        <f>IFERROR(I270+J270,0)</f>
        <v/>
      </c>
      <c r="U270" s="59" t="n"/>
      <c r="V270" s="59" t="n"/>
      <c r="W270" s="59" t="n"/>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IF(C271="","",ROW()-2)</f>
        <v/>
      </c>
      <c r="B271" s="825" t="n"/>
      <c r="C271" s="826" t="n"/>
      <c r="D271" s="827" t="n"/>
      <c r="E271" s="828" t="n"/>
      <c r="F271" s="829" t="n"/>
      <c r="G271" s="829" t="n"/>
      <c r="H271" s="830" t="n"/>
      <c r="I271" s="37" t="n"/>
      <c r="J271" s="37" t="n"/>
      <c r="K271" s="35">
        <f>IFERROR(I271+J271,0)</f>
        <v/>
      </c>
      <c r="U271" s="59" t="n"/>
      <c r="V271" s="59" t="n"/>
      <c r="W271" s="59" t="n"/>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IF(C272="","",ROW()-2)</f>
        <v/>
      </c>
      <c r="B272" s="825" t="n"/>
      <c r="C272" s="826" t="n"/>
      <c r="D272" s="827" t="n"/>
      <c r="E272" s="828" t="n"/>
      <c r="F272" s="829" t="n"/>
      <c r="G272" s="829" t="n"/>
      <c r="H272" s="830" t="n"/>
      <c r="I272" s="37" t="n"/>
      <c r="J272" s="37" t="n"/>
      <c r="K272" s="35">
        <f>IFERROR(I272+J272,0)</f>
        <v/>
      </c>
      <c r="U272" s="59" t="n"/>
      <c r="V272" s="59" t="n"/>
      <c r="W272" s="59" t="n"/>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IF(C273="","",ROW()-2)</f>
        <v/>
      </c>
      <c r="B273" s="825" t="n"/>
      <c r="C273" s="826" t="n"/>
      <c r="D273" s="827" t="n"/>
      <c r="E273" s="828" t="n"/>
      <c r="F273" s="829" t="n"/>
      <c r="G273" s="829" t="n"/>
      <c r="H273" s="830" t="n"/>
      <c r="I273" s="37" t="n"/>
      <c r="J273" s="37" t="n"/>
      <c r="K273" s="35">
        <f>IFERROR(I273+J273,0)</f>
        <v/>
      </c>
      <c r="U273" s="59" t="n"/>
      <c r="V273" s="59" t="n"/>
      <c r="W273" s="59" t="n"/>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IF(C274="","",ROW()-2)</f>
        <v/>
      </c>
      <c r="B274" s="825" t="n"/>
      <c r="C274" s="826" t="n"/>
      <c r="D274" s="827" t="n"/>
      <c r="E274" s="828" t="n"/>
      <c r="F274" s="829" t="n"/>
      <c r="G274" s="829" t="n"/>
      <c r="H274" s="830" t="n"/>
      <c r="I274" s="37" t="n"/>
      <c r="J274" s="37" t="n"/>
      <c r="K274" s="35">
        <f>IFERROR(I274+J274,0)</f>
        <v/>
      </c>
      <c r="U274" s="59" t="n"/>
      <c r="V274" s="59" t="n"/>
      <c r="W274" s="59" t="n"/>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IF(C275="","",ROW()-2)</f>
        <v/>
      </c>
      <c r="B275" s="825" t="n"/>
      <c r="C275" s="826" t="n"/>
      <c r="D275" s="827" t="n"/>
      <c r="E275" s="828" t="n"/>
      <c r="F275" s="829" t="n"/>
      <c r="G275" s="829" t="n"/>
      <c r="H275" s="830" t="n"/>
      <c r="I275" s="37" t="n"/>
      <c r="J275" s="37" t="n"/>
      <c r="K275" s="35">
        <f>IFERROR(I275+J275,0)</f>
        <v/>
      </c>
      <c r="U275" s="59" t="n"/>
      <c r="V275" s="59" t="n"/>
      <c r="W275" s="59" t="n"/>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IF(C276="","",ROW()-2)</f>
        <v/>
      </c>
      <c r="B276" s="825" t="n"/>
      <c r="C276" s="826" t="n"/>
      <c r="D276" s="827" t="n"/>
      <c r="E276" s="828" t="n"/>
      <c r="F276" s="829" t="n"/>
      <c r="G276" s="829" t="n"/>
      <c r="H276" s="830" t="n"/>
      <c r="I276" s="37" t="n"/>
      <c r="J276" s="37" t="n"/>
      <c r="K276" s="35">
        <f>IFERROR(I276+J276,0)</f>
        <v/>
      </c>
      <c r="U276" s="59" t="n"/>
      <c r="V276" s="59" t="n"/>
      <c r="W276" s="59" t="n"/>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IF(C277="","",ROW()-2)</f>
        <v/>
      </c>
      <c r="B277" s="825" t="n"/>
      <c r="C277" s="826" t="n"/>
      <c r="D277" s="827" t="n"/>
      <c r="E277" s="828" t="n"/>
      <c r="F277" s="829" t="n"/>
      <c r="G277" s="829" t="n"/>
      <c r="H277" s="830" t="n"/>
      <c r="I277" s="37" t="n"/>
      <c r="J277" s="37" t="n"/>
      <c r="K277" s="35">
        <f>IFERROR(I277+J277,0)</f>
        <v/>
      </c>
      <c r="U277" s="59" t="n"/>
      <c r="V277" s="59" t="n"/>
      <c r="W277" s="59" t="n"/>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IF(C278="","",ROW()-2)</f>
        <v/>
      </c>
      <c r="B278" s="825" t="n"/>
      <c r="C278" s="826" t="n"/>
      <c r="D278" s="827" t="n"/>
      <c r="E278" s="828" t="n"/>
      <c r="F278" s="829" t="n"/>
      <c r="G278" s="829" t="n"/>
      <c r="H278" s="830" t="n"/>
      <c r="I278" s="37" t="n"/>
      <c r="J278" s="37" t="n"/>
      <c r="K278" s="35">
        <f>IFERROR(I278+J278,0)</f>
        <v/>
      </c>
      <c r="U278" s="59" t="n"/>
      <c r="V278" s="59" t="n"/>
      <c r="W278" s="59" t="n"/>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IF(C279="","",ROW()-2)</f>
        <v/>
      </c>
      <c r="B279" s="825" t="n"/>
      <c r="C279" s="826" t="n"/>
      <c r="D279" s="827" t="n"/>
      <c r="E279" s="828" t="n"/>
      <c r="F279" s="829" t="n"/>
      <c r="G279" s="829" t="n"/>
      <c r="H279" s="830" t="n"/>
      <c r="I279" s="37" t="n"/>
      <c r="J279" s="37" t="n"/>
      <c r="K279" s="35">
        <f>IFERROR(I279+J279,0)</f>
        <v/>
      </c>
      <c r="U279" s="59" t="n"/>
      <c r="V279" s="59" t="n"/>
      <c r="W279" s="59" t="n"/>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IF(C280="","",ROW()-2)</f>
        <v/>
      </c>
      <c r="B280" s="825" t="n"/>
      <c r="C280" s="826" t="n"/>
      <c r="D280" s="827" t="n"/>
      <c r="E280" s="828" t="n"/>
      <c r="F280" s="829" t="n"/>
      <c r="G280" s="829" t="n"/>
      <c r="H280" s="830" t="n"/>
      <c r="I280" s="37" t="n"/>
      <c r="J280" s="37" t="n"/>
      <c r="K280" s="35">
        <f>IFERROR(I280+J280,0)</f>
        <v/>
      </c>
      <c r="U280" s="59" t="n"/>
      <c r="V280" s="59" t="n"/>
      <c r="W280" s="59" t="n"/>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IF(C281="","",ROW()-2)</f>
        <v/>
      </c>
      <c r="B281" s="825" t="n"/>
      <c r="C281" s="826" t="n"/>
      <c r="D281" s="827" t="n"/>
      <c r="E281" s="828" t="n"/>
      <c r="F281" s="829" t="n"/>
      <c r="G281" s="829" t="n"/>
      <c r="H281" s="830" t="n"/>
      <c r="I281" s="37" t="n"/>
      <c r="J281" s="37" t="n"/>
      <c r="K281" s="35">
        <f>IFERROR(I281+J281,0)</f>
        <v/>
      </c>
      <c r="U281" s="59" t="n"/>
      <c r="V281" s="59" t="n"/>
      <c r="W281" s="59" t="n"/>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IF(C282="","",ROW()-2)</f>
        <v/>
      </c>
      <c r="B282" s="825" t="n"/>
      <c r="C282" s="826" t="n"/>
      <c r="D282" s="827" t="n"/>
      <c r="E282" s="828" t="n"/>
      <c r="F282" s="829" t="n"/>
      <c r="G282" s="829" t="n"/>
      <c r="H282" s="830" t="n"/>
      <c r="I282" s="37" t="n"/>
      <c r="J282" s="37" t="n"/>
      <c r="K282" s="35">
        <f>IFERROR(I282+J282,0)</f>
        <v/>
      </c>
      <c r="U282" s="59" t="n"/>
      <c r="V282" s="59" t="n"/>
      <c r="W282" s="59" t="n"/>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IF(C283="","",ROW()-2)</f>
        <v/>
      </c>
      <c r="B283" s="825" t="n"/>
      <c r="C283" s="826" t="n"/>
      <c r="D283" s="827" t="n"/>
      <c r="E283" s="828" t="n"/>
      <c r="F283" s="829" t="n"/>
      <c r="G283" s="829" t="n"/>
      <c r="H283" s="830" t="n"/>
      <c r="I283" s="37" t="n"/>
      <c r="J283" s="37" t="n"/>
      <c r="K283" s="35">
        <f>IFERROR(I283+J283,0)</f>
        <v/>
      </c>
      <c r="U283" s="59" t="n"/>
      <c r="V283" s="59" t="n"/>
      <c r="W283" s="59" t="n"/>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IF(C284="","",ROW()-2)</f>
        <v/>
      </c>
      <c r="B284" s="825" t="n"/>
      <c r="C284" s="826" t="n"/>
      <c r="D284" s="827" t="n"/>
      <c r="E284" s="828" t="n"/>
      <c r="F284" s="829" t="n"/>
      <c r="G284" s="829" t="n"/>
      <c r="H284" s="830" t="n"/>
      <c r="I284" s="37" t="n"/>
      <c r="J284" s="37" t="n"/>
      <c r="K284" s="35">
        <f>IFERROR(I284+J284,0)</f>
        <v/>
      </c>
      <c r="U284" s="59" t="n"/>
      <c r="V284" s="59" t="n"/>
      <c r="W284" s="59" t="n"/>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IF(C285="","",ROW()-2)</f>
        <v/>
      </c>
      <c r="B285" s="825" t="n"/>
      <c r="C285" s="826" t="n"/>
      <c r="D285" s="827" t="n"/>
      <c r="E285" s="828" t="n"/>
      <c r="F285" s="829" t="n"/>
      <c r="G285" s="829" t="n"/>
      <c r="H285" s="830" t="n"/>
      <c r="I285" s="37" t="n"/>
      <c r="J285" s="37" t="n"/>
      <c r="K285" s="35">
        <f>IFERROR(I285+J285,0)</f>
        <v/>
      </c>
      <c r="U285" s="59" t="n"/>
      <c r="V285" s="59" t="n"/>
      <c r="W285" s="59" t="n"/>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IF(C286="","",ROW()-2)</f>
        <v/>
      </c>
      <c r="B286" s="825" t="n"/>
      <c r="C286" s="826" t="n"/>
      <c r="D286" s="827" t="n"/>
      <c r="E286" s="828" t="n"/>
      <c r="F286" s="829" t="n"/>
      <c r="G286" s="829" t="n"/>
      <c r="H286" s="830" t="n"/>
      <c r="I286" s="37" t="n"/>
      <c r="J286" s="37" t="n"/>
      <c r="K286" s="35">
        <f>IFERROR(I286+J286,0)</f>
        <v/>
      </c>
      <c r="U286" s="59" t="n"/>
      <c r="V286" s="59" t="n"/>
      <c r="W286" s="59" t="n"/>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IF(C287="","",ROW()-2)</f>
        <v/>
      </c>
      <c r="B287" s="825" t="n"/>
      <c r="C287" s="826" t="n"/>
      <c r="D287" s="827" t="n"/>
      <c r="E287" s="828" t="n"/>
      <c r="F287" s="829" t="n"/>
      <c r="G287" s="829" t="n"/>
      <c r="H287" s="830" t="n"/>
      <c r="I287" s="37" t="n"/>
      <c r="J287" s="37" t="n"/>
      <c r="K287" s="35">
        <f>IFERROR(I287+J287,0)</f>
        <v/>
      </c>
      <c r="U287" s="59" t="n"/>
      <c r="V287" s="59" t="n"/>
      <c r="W287" s="59" t="n"/>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IF(C288="","",ROW()-2)</f>
        <v/>
      </c>
      <c r="B288" s="825" t="n"/>
      <c r="C288" s="826" t="n"/>
      <c r="D288" s="827" t="n"/>
      <c r="E288" s="828" t="n"/>
      <c r="F288" s="829" t="n"/>
      <c r="G288" s="829" t="n"/>
      <c r="H288" s="830" t="n"/>
      <c r="I288" s="37" t="n"/>
      <c r="J288" s="37" t="n"/>
      <c r="K288" s="35">
        <f>IFERROR(I288+J288,0)</f>
        <v/>
      </c>
      <c r="U288" s="59" t="n"/>
      <c r="V288" s="59" t="n"/>
      <c r="W288" s="59" t="n"/>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IF(C289="","",ROW()-2)</f>
        <v/>
      </c>
      <c r="B289" s="825" t="n"/>
      <c r="C289" s="826" t="n"/>
      <c r="D289" s="827" t="n"/>
      <c r="E289" s="828" t="n"/>
      <c r="F289" s="829" t="n"/>
      <c r="G289" s="829" t="n"/>
      <c r="H289" s="830" t="n"/>
      <c r="I289" s="37" t="n"/>
      <c r="J289" s="37" t="n"/>
      <c r="K289" s="35">
        <f>IFERROR(I289+J289,0)</f>
        <v/>
      </c>
      <c r="U289" s="59" t="n"/>
      <c r="V289" s="59" t="n"/>
      <c r="W289" s="59" t="n"/>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IF(C290="","",ROW()-2)</f>
        <v/>
      </c>
      <c r="B290" s="825" t="n"/>
      <c r="C290" s="826" t="n"/>
      <c r="D290" s="827" t="n"/>
      <c r="E290" s="828" t="n"/>
      <c r="F290" s="829" t="n"/>
      <c r="G290" s="829" t="n"/>
      <c r="H290" s="830" t="n"/>
      <c r="I290" s="37" t="n"/>
      <c r="J290" s="37" t="n"/>
      <c r="K290" s="35">
        <f>IFERROR(I290+J290,0)</f>
        <v/>
      </c>
      <c r="U290" s="59" t="n"/>
      <c r="V290" s="59" t="n"/>
      <c r="W290" s="59" t="n"/>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IF(C291="","",ROW()-2)</f>
        <v/>
      </c>
      <c r="B291" s="825" t="n"/>
      <c r="C291" s="826" t="n"/>
      <c r="D291" s="827" t="n"/>
      <c r="E291" s="828" t="n"/>
      <c r="F291" s="829" t="n"/>
      <c r="G291" s="829" t="n"/>
      <c r="H291" s="830" t="n"/>
      <c r="I291" s="37" t="n"/>
      <c r="J291" s="37" t="n"/>
      <c r="K291" s="35">
        <f>IFERROR(I291+J291,0)</f>
        <v/>
      </c>
      <c r="U291" s="59" t="n"/>
      <c r="V291" s="59" t="n"/>
      <c r="W291" s="59" t="n"/>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IF(C292="","",ROW()-2)</f>
        <v/>
      </c>
      <c r="B292" s="825" t="n"/>
      <c r="C292" s="826" t="n"/>
      <c r="D292" s="827" t="n"/>
      <c r="E292" s="828" t="n"/>
      <c r="F292" s="829" t="n"/>
      <c r="G292" s="829" t="n"/>
      <c r="H292" s="830" t="n"/>
      <c r="I292" s="37" t="n"/>
      <c r="J292" s="37" t="n"/>
      <c r="K292" s="35">
        <f>IFERROR(I292+J292,0)</f>
        <v/>
      </c>
      <c r="U292" s="59" t="n"/>
      <c r="V292" s="59" t="n"/>
      <c r="W292" s="59" t="n"/>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IF(C293="","",ROW()-2)</f>
        <v/>
      </c>
      <c r="B293" s="825" t="n"/>
      <c r="C293" s="826" t="n"/>
      <c r="D293" s="827" t="n"/>
      <c r="E293" s="828" t="n"/>
      <c r="F293" s="829" t="n"/>
      <c r="G293" s="829" t="n"/>
      <c r="H293" s="830" t="n"/>
      <c r="I293" s="37" t="n"/>
      <c r="J293" s="37" t="n"/>
      <c r="K293" s="35">
        <f>IFERROR(I293+J293,0)</f>
        <v/>
      </c>
      <c r="U293" s="59" t="n"/>
      <c r="V293" s="59" t="n"/>
      <c r="W293" s="59" t="n"/>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IF(C294="","",ROW()-2)</f>
        <v/>
      </c>
      <c r="B294" s="825" t="n"/>
      <c r="C294" s="826" t="n"/>
      <c r="D294" s="827" t="n"/>
      <c r="E294" s="828" t="n"/>
      <c r="F294" s="829" t="n"/>
      <c r="G294" s="829" t="n"/>
      <c r="H294" s="830" t="n"/>
      <c r="I294" s="37" t="n"/>
      <c r="J294" s="37" t="n"/>
      <c r="K294" s="35">
        <f>IFERROR(I294+J294,0)</f>
        <v/>
      </c>
      <c r="U294" s="59" t="n"/>
      <c r="V294" s="59" t="n"/>
      <c r="W294" s="59" t="n"/>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IF(C295="","",ROW()-2)</f>
        <v/>
      </c>
      <c r="B295" s="825" t="n"/>
      <c r="C295" s="826" t="n"/>
      <c r="D295" s="827" t="n"/>
      <c r="E295" s="828" t="n"/>
      <c r="F295" s="829" t="n"/>
      <c r="G295" s="829" t="n"/>
      <c r="H295" s="830" t="n"/>
      <c r="I295" s="37" t="n"/>
      <c r="J295" s="37" t="n"/>
      <c r="K295" s="35">
        <f>IFERROR(I295+J295,0)</f>
        <v/>
      </c>
      <c r="U295" s="59" t="n"/>
      <c r="V295" s="59" t="n"/>
      <c r="W295" s="59" t="n"/>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IF(C296="","",ROW()-2)</f>
        <v/>
      </c>
      <c r="B296" s="825" t="n"/>
      <c r="C296" s="826" t="n"/>
      <c r="D296" s="827" t="n"/>
      <c r="E296" s="828" t="n"/>
      <c r="F296" s="829" t="n"/>
      <c r="G296" s="829" t="n"/>
      <c r="H296" s="830" t="n"/>
      <c r="I296" s="37" t="n"/>
      <c r="J296" s="37" t="n"/>
      <c r="K296" s="35">
        <f>IFERROR(I296+J296,0)</f>
        <v/>
      </c>
      <c r="U296" s="59" t="n"/>
      <c r="V296" s="59" t="n"/>
      <c r="W296" s="59" t="n"/>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IF(C297="","",ROW()-2)</f>
        <v/>
      </c>
      <c r="B297" s="825" t="n"/>
      <c r="C297" s="826" t="n"/>
      <c r="D297" s="827" t="n"/>
      <c r="E297" s="828" t="n"/>
      <c r="F297" s="829" t="n"/>
      <c r="G297" s="829" t="n"/>
      <c r="H297" s="830" t="n"/>
      <c r="I297" s="37" t="n"/>
      <c r="J297" s="37" t="n"/>
      <c r="K297" s="35">
        <f>IFERROR(I297+J297,0)</f>
        <v/>
      </c>
      <c r="U297" s="59" t="n"/>
      <c r="V297" s="59" t="n"/>
      <c r="W297" s="59" t="n"/>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IF(C298="","",ROW()-2)</f>
        <v/>
      </c>
      <c r="B298" s="825" t="n"/>
      <c r="C298" s="826" t="n"/>
      <c r="D298" s="827" t="n"/>
      <c r="E298" s="828" t="n"/>
      <c r="F298" s="829" t="n"/>
      <c r="G298" s="829" t="n"/>
      <c r="H298" s="830" t="n"/>
      <c r="I298" s="37" t="n"/>
      <c r="J298" s="37" t="n"/>
      <c r="K298" s="35">
        <f>IFERROR(I298+J298,0)</f>
        <v/>
      </c>
      <c r="U298" s="59" t="n"/>
      <c r="V298" s="59" t="n"/>
      <c r="W298" s="59" t="n"/>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IF(C299="","",ROW()-2)</f>
        <v/>
      </c>
      <c r="B299" s="825" t="n"/>
      <c r="C299" s="826" t="n"/>
      <c r="D299" s="827" t="n"/>
      <c r="E299" s="828" t="n"/>
      <c r="F299" s="829" t="n"/>
      <c r="G299" s="829" t="n"/>
      <c r="H299" s="830" t="n"/>
      <c r="I299" s="37" t="n"/>
      <c r="J299" s="37" t="n"/>
      <c r="K299" s="35">
        <f>IFERROR(I299+J299,0)</f>
        <v/>
      </c>
      <c r="U299" s="59" t="n"/>
      <c r="V299" s="59" t="n"/>
      <c r="W299" s="59" t="n"/>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IF(C300="","",ROW()-2)</f>
        <v/>
      </c>
      <c r="B300" s="825" t="n"/>
      <c r="C300" s="826" t="n"/>
      <c r="D300" s="827" t="n"/>
      <c r="E300" s="828" t="n"/>
      <c r="F300" s="829" t="n"/>
      <c r="G300" s="829" t="n"/>
      <c r="H300" s="830" t="n"/>
      <c r="I300" s="37" t="n"/>
      <c r="J300" s="37" t="n"/>
      <c r="K300" s="35">
        <f>IFERROR(I300+J300,0)</f>
        <v/>
      </c>
      <c r="U300" s="59" t="n"/>
      <c r="V300" s="59" t="n"/>
      <c r="W300" s="59" t="n"/>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IF(C301="","",ROW()-2)</f>
        <v/>
      </c>
      <c r="B301" s="825" t="n"/>
      <c r="C301" s="826" t="n"/>
      <c r="D301" s="827" t="n"/>
      <c r="E301" s="828" t="n"/>
      <c r="F301" s="829" t="n"/>
      <c r="G301" s="829" t="n"/>
      <c r="H301" s="830" t="n"/>
      <c r="I301" s="37" t="n"/>
      <c r="J301" s="37" t="n"/>
      <c r="K301" s="35">
        <f>IFERROR(I301+J301,0)</f>
        <v/>
      </c>
      <c r="U301" s="59" t="n"/>
      <c r="V301" s="59" t="n"/>
      <c r="W301" s="59" t="n"/>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IF(C302="","",ROW()-2)</f>
        <v/>
      </c>
      <c r="B302" s="825" t="n"/>
      <c r="C302" s="826" t="n"/>
      <c r="D302" s="827" t="n"/>
      <c r="E302" s="828" t="n"/>
      <c r="F302" s="829" t="n"/>
      <c r="G302" s="829" t="n"/>
      <c r="H302" s="830" t="n"/>
      <c r="I302" s="37" t="n"/>
      <c r="J302" s="37" t="n"/>
      <c r="K302" s="35">
        <f>IFERROR(I302+J302,0)</f>
        <v/>
      </c>
      <c r="U302" s="59" t="n"/>
      <c r="V302" s="59" t="n"/>
      <c r="W302" s="59" t="n"/>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IF(C303="","",ROW()-2)</f>
        <v/>
      </c>
      <c r="B303" s="825" t="n"/>
      <c r="C303" s="826" t="n"/>
      <c r="D303" s="827" t="n"/>
      <c r="E303" s="828" t="n"/>
      <c r="F303" s="829" t="n"/>
      <c r="G303" s="829" t="n"/>
      <c r="H303" s="830" t="n"/>
      <c r="I303" s="37" t="n"/>
      <c r="J303" s="37" t="n"/>
      <c r="K303" s="35">
        <f>IFERROR(I303+J303,0)</f>
        <v/>
      </c>
      <c r="U303" s="59" t="n"/>
      <c r="V303" s="59" t="n"/>
      <c r="W303" s="59" t="n"/>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IF(C304="","",ROW()-2)</f>
        <v/>
      </c>
      <c r="B304" s="825" t="n"/>
      <c r="C304" s="826" t="n"/>
      <c r="D304" s="827" t="n"/>
      <c r="E304" s="828" t="n"/>
      <c r="F304" s="829" t="n"/>
      <c r="G304" s="829" t="n"/>
      <c r="H304" s="830" t="n"/>
      <c r="I304" s="37" t="n"/>
      <c r="J304" s="37" t="n"/>
      <c r="K304" s="35">
        <f>IFERROR(I304+J304,0)</f>
        <v/>
      </c>
      <c r="U304" s="59" t="n"/>
      <c r="V304" s="59" t="n"/>
      <c r="W304" s="59" t="n"/>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IF(C305="","",ROW()-2)</f>
        <v/>
      </c>
      <c r="B305" s="825" t="n"/>
      <c r="C305" s="826" t="n"/>
      <c r="D305" s="827" t="n"/>
      <c r="E305" s="828" t="n"/>
      <c r="F305" s="829" t="n"/>
      <c r="G305" s="829" t="n"/>
      <c r="H305" s="830" t="n"/>
      <c r="I305" s="37" t="n"/>
      <c r="J305" s="37" t="n"/>
      <c r="K305" s="35">
        <f>IFERROR(I305+J305,0)</f>
        <v/>
      </c>
      <c r="U305" s="59" t="n"/>
      <c r="V305" s="59" t="n"/>
      <c r="W305" s="59" t="n"/>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IF(C306="","",ROW()-2)</f>
        <v/>
      </c>
      <c r="B306" s="825" t="n"/>
      <c r="C306" s="826" t="n"/>
      <c r="D306" s="827" t="n"/>
      <c r="E306" s="828" t="n"/>
      <c r="F306" s="829" t="n"/>
      <c r="G306" s="829" t="n"/>
      <c r="H306" s="830" t="n"/>
      <c r="I306" s="37" t="n"/>
      <c r="J306" s="37" t="n"/>
      <c r="K306" s="35">
        <f>IFERROR(I306+J306,0)</f>
        <v/>
      </c>
      <c r="U306" s="59" t="n"/>
      <c r="V306" s="59" t="n"/>
      <c r="W306" s="59" t="n"/>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IF(C307="","",ROW()-2)</f>
        <v/>
      </c>
      <c r="B307" s="825" t="n"/>
      <c r="C307" s="826" t="n"/>
      <c r="D307" s="827" t="n"/>
      <c r="E307" s="828" t="n"/>
      <c r="F307" s="829" t="n"/>
      <c r="G307" s="829" t="n"/>
      <c r="H307" s="830" t="n"/>
      <c r="I307" s="37" t="n"/>
      <c r="J307" s="37" t="n"/>
      <c r="K307" s="35">
        <f>IFERROR(I307+J307,0)</f>
        <v/>
      </c>
      <c r="U307" s="59" t="n"/>
      <c r="V307" s="59" t="n"/>
      <c r="W307" s="59" t="n"/>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IF(C308="","",ROW()-2)</f>
        <v/>
      </c>
      <c r="B308" s="825" t="n"/>
      <c r="C308" s="826" t="n"/>
      <c r="D308" s="827" t="n"/>
      <c r="E308" s="828" t="n"/>
      <c r="F308" s="829" t="n"/>
      <c r="G308" s="829" t="n"/>
      <c r="H308" s="830" t="n"/>
      <c r="I308" s="37" t="n"/>
      <c r="J308" s="37" t="n"/>
      <c r="K308" s="35">
        <f>IFERROR(I308+J308,0)</f>
        <v/>
      </c>
      <c r="U308" s="59" t="n"/>
      <c r="V308" s="59" t="n"/>
      <c r="W308" s="59" t="n"/>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IF(C309="","",ROW()-2)</f>
        <v/>
      </c>
      <c r="B309" s="825" t="n"/>
      <c r="C309" s="826" t="n"/>
      <c r="D309" s="827" t="n"/>
      <c r="E309" s="828" t="n"/>
      <c r="F309" s="829" t="n"/>
      <c r="G309" s="829" t="n"/>
      <c r="H309" s="830" t="n"/>
      <c r="I309" s="37" t="n"/>
      <c r="J309" s="37" t="n"/>
      <c r="K309" s="35">
        <f>IFERROR(I309+J309,0)</f>
        <v/>
      </c>
      <c r="U309" s="59" t="n"/>
      <c r="V309" s="59" t="n"/>
      <c r="W309" s="59" t="n"/>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IF(C310="","",ROW()-2)</f>
        <v/>
      </c>
      <c r="B310" s="825" t="n"/>
      <c r="C310" s="826" t="n"/>
      <c r="D310" s="827" t="n"/>
      <c r="E310" s="828" t="n"/>
      <c r="F310" s="829" t="n"/>
      <c r="G310" s="829" t="n"/>
      <c r="H310" s="830" t="n"/>
      <c r="I310" s="37" t="n"/>
      <c r="J310" s="37" t="n"/>
      <c r="K310" s="35">
        <f>IFERROR(I310+J310,0)</f>
        <v/>
      </c>
      <c r="U310" s="59" t="n"/>
      <c r="V310" s="59" t="n"/>
      <c r="W310" s="59" t="n"/>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IF(C311="","",ROW()-2)</f>
        <v/>
      </c>
      <c r="B311" s="825" t="n"/>
      <c r="C311" s="826" t="n"/>
      <c r="D311" s="827" t="n"/>
      <c r="E311" s="828" t="n"/>
      <c r="F311" s="829" t="n"/>
      <c r="G311" s="829" t="n"/>
      <c r="H311" s="830" t="n"/>
      <c r="I311" s="37" t="n"/>
      <c r="J311" s="37" t="n"/>
      <c r="K311" s="35">
        <f>IFERROR(I311+J311,0)</f>
        <v/>
      </c>
      <c r="U311" s="59" t="n"/>
      <c r="V311" s="59" t="n"/>
      <c r="W311" s="59" t="n"/>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IF(C312="","",ROW()-2)</f>
        <v/>
      </c>
      <c r="B312" s="825" t="n"/>
      <c r="C312" s="826" t="n"/>
      <c r="D312" s="827" t="n"/>
      <c r="E312" s="828" t="n"/>
      <c r="F312" s="829" t="n"/>
      <c r="G312" s="829" t="n"/>
      <c r="H312" s="830" t="n"/>
      <c r="I312" s="37" t="n"/>
      <c r="J312" s="37" t="n"/>
      <c r="K312" s="35">
        <f>IFERROR(I312+J312,0)</f>
        <v/>
      </c>
      <c r="U312" s="59" t="n"/>
      <c r="V312" s="59" t="n"/>
      <c r="W312" s="59" t="n"/>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IF(C313="","",ROW()-2)</f>
        <v/>
      </c>
      <c r="B313" s="825" t="n"/>
      <c r="C313" s="826" t="n"/>
      <c r="D313" s="827" t="n"/>
      <c r="E313" s="828" t="n"/>
      <c r="F313" s="829" t="n"/>
      <c r="G313" s="829" t="n"/>
      <c r="H313" s="830" t="n"/>
      <c r="I313" s="37" t="n"/>
      <c r="J313" s="37" t="n"/>
      <c r="K313" s="35">
        <f>IFERROR(I313+J313,0)</f>
        <v/>
      </c>
      <c r="U313" s="59" t="n"/>
      <c r="V313" s="59" t="n"/>
      <c r="W313" s="59" t="n"/>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IF(C314="","",ROW()-2)</f>
        <v/>
      </c>
      <c r="B314" s="825" t="n"/>
      <c r="C314" s="826" t="n"/>
      <c r="D314" s="827" t="n"/>
      <c r="E314" s="828" t="n"/>
      <c r="F314" s="829" t="n"/>
      <c r="G314" s="829" t="n"/>
      <c r="H314" s="830" t="n"/>
      <c r="I314" s="37" t="n"/>
      <c r="J314" s="37" t="n"/>
      <c r="K314" s="35">
        <f>IFERROR(I314+J314,0)</f>
        <v/>
      </c>
      <c r="U314" s="59" t="n"/>
      <c r="V314" s="59" t="n"/>
      <c r="W314" s="59" t="n"/>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IF(C315="","",ROW()-2)</f>
        <v/>
      </c>
      <c r="B315" s="825" t="n"/>
      <c r="C315" s="826" t="n"/>
      <c r="D315" s="827" t="n"/>
      <c r="E315" s="828" t="n"/>
      <c r="F315" s="829" t="n"/>
      <c r="G315" s="829" t="n"/>
      <c r="H315" s="830" t="n"/>
      <c r="I315" s="37" t="n"/>
      <c r="J315" s="37" t="n"/>
      <c r="K315" s="35">
        <f>IFERROR(I315+J315,0)</f>
        <v/>
      </c>
      <c r="U315" s="59" t="n"/>
      <c r="V315" s="59" t="n"/>
      <c r="W315" s="59" t="n"/>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IF(C316="","",ROW()-2)</f>
        <v/>
      </c>
      <c r="B316" s="825" t="n"/>
      <c r="C316" s="826" t="n"/>
      <c r="D316" s="827" t="n"/>
      <c r="E316" s="828" t="n"/>
      <c r="F316" s="829" t="n"/>
      <c r="G316" s="829" t="n"/>
      <c r="H316" s="830" t="n"/>
      <c r="I316" s="37" t="n"/>
      <c r="J316" s="37" t="n"/>
      <c r="K316" s="35">
        <f>IFERROR(I316+J316,0)</f>
        <v/>
      </c>
      <c r="U316" s="59" t="n"/>
      <c r="V316" s="59" t="n"/>
      <c r="W316" s="59" t="n"/>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IF(C317="","",ROW()-2)</f>
        <v/>
      </c>
      <c r="B317" s="825" t="n"/>
      <c r="C317" s="826" t="n"/>
      <c r="D317" s="827" t="n"/>
      <c r="E317" s="828" t="n"/>
      <c r="F317" s="829" t="n"/>
      <c r="G317" s="829" t="n"/>
      <c r="H317" s="830" t="n"/>
      <c r="I317" s="37" t="n"/>
      <c r="J317" s="37" t="n"/>
      <c r="K317" s="35">
        <f>IFERROR(I317+J317,0)</f>
        <v/>
      </c>
      <c r="U317" s="59" t="n"/>
      <c r="V317" s="59" t="n"/>
      <c r="W317" s="59" t="n"/>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IF(C318="","",ROW()-2)</f>
        <v/>
      </c>
      <c r="B318" s="825" t="n"/>
      <c r="C318" s="826" t="n"/>
      <c r="D318" s="827" t="n"/>
      <c r="E318" s="828" t="n"/>
      <c r="F318" s="829" t="n"/>
      <c r="G318" s="829" t="n"/>
      <c r="H318" s="830" t="n"/>
      <c r="I318" s="37" t="n"/>
      <c r="J318" s="37" t="n"/>
      <c r="K318" s="35">
        <f>IFERROR(I318+J318,0)</f>
        <v/>
      </c>
      <c r="U318" s="59" t="n"/>
      <c r="V318" s="59" t="n"/>
      <c r="W318" s="59" t="n"/>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IF(C319="","",ROW()-2)</f>
        <v/>
      </c>
      <c r="B319" s="825" t="n"/>
      <c r="C319" s="826" t="n"/>
      <c r="D319" s="827" t="n"/>
      <c r="E319" s="828" t="n"/>
      <c r="F319" s="829" t="n"/>
      <c r="G319" s="829" t="n"/>
      <c r="H319" s="830" t="n"/>
      <c r="I319" s="37" t="n"/>
      <c r="J319" s="37" t="n"/>
      <c r="K319" s="35">
        <f>IFERROR(I319+J319,0)</f>
        <v/>
      </c>
      <c r="U319" s="59" t="n"/>
      <c r="V319" s="59" t="n"/>
      <c r="W319" s="59" t="n"/>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IF(C320="","",ROW()-2)</f>
        <v/>
      </c>
      <c r="B320" s="825" t="n"/>
      <c r="C320" s="826" t="n"/>
      <c r="D320" s="827" t="n"/>
      <c r="E320" s="828" t="n"/>
      <c r="F320" s="829" t="n"/>
      <c r="G320" s="829" t="n"/>
      <c r="H320" s="830" t="n"/>
      <c r="I320" s="37" t="n"/>
      <c r="J320" s="37" t="n"/>
      <c r="K320" s="35">
        <f>IFERROR(I320+J320,0)</f>
        <v/>
      </c>
      <c r="U320" s="59" t="n"/>
      <c r="V320" s="59" t="n"/>
      <c r="W320" s="59" t="n"/>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IF(C321="","",ROW()-2)</f>
        <v/>
      </c>
      <c r="B321" s="825" t="n"/>
      <c r="C321" s="826" t="n"/>
      <c r="D321" s="827" t="n"/>
      <c r="E321" s="828" t="n"/>
      <c r="F321" s="829" t="n"/>
      <c r="G321" s="829" t="n"/>
      <c r="H321" s="830" t="n"/>
      <c r="I321" s="37" t="n"/>
      <c r="J321" s="37" t="n"/>
      <c r="K321" s="35">
        <f>IFERROR(I321+J321,0)</f>
        <v/>
      </c>
      <c r="U321" s="59" t="n"/>
      <c r="V321" s="59" t="n"/>
      <c r="W321" s="59" t="n"/>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IF(C322="","",ROW()-2)</f>
        <v/>
      </c>
      <c r="B322" s="825" t="n"/>
      <c r="C322" s="826" t="n"/>
      <c r="D322" s="827" t="n"/>
      <c r="E322" s="828" t="n"/>
      <c r="F322" s="829" t="n"/>
      <c r="G322" s="829" t="n"/>
      <c r="H322" s="830" t="n"/>
      <c r="I322" s="37" t="n"/>
      <c r="J322" s="37" t="n"/>
      <c r="K322" s="35">
        <f>IFERROR(I322+J322,0)</f>
        <v/>
      </c>
      <c r="U322" s="59" t="n"/>
      <c r="V322" s="59" t="n"/>
      <c r="W322" s="59" t="n"/>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IF(C323="","",ROW()-2)</f>
        <v/>
      </c>
      <c r="B323" s="825" t="n"/>
      <c r="C323" s="826" t="n"/>
      <c r="D323" s="827" t="n"/>
      <c r="E323" s="828" t="n"/>
      <c r="F323" s="829" t="n"/>
      <c r="G323" s="829" t="n"/>
      <c r="H323" s="830" t="n"/>
      <c r="I323" s="37" t="n"/>
      <c r="J323" s="37" t="n"/>
      <c r="K323" s="35">
        <f>IFERROR(I323+J323,0)</f>
        <v/>
      </c>
      <c r="U323" s="59" t="n"/>
      <c r="V323" s="59" t="n"/>
      <c r="W323" s="59" t="n"/>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IF(C324="","",ROW()-2)</f>
        <v/>
      </c>
      <c r="B324" s="825" t="n"/>
      <c r="C324" s="826" t="n"/>
      <c r="D324" s="827" t="n"/>
      <c r="E324" s="828" t="n"/>
      <c r="F324" s="829" t="n"/>
      <c r="G324" s="829" t="n"/>
      <c r="H324" s="830" t="n"/>
      <c r="I324" s="37" t="n"/>
      <c r="J324" s="37" t="n"/>
      <c r="K324" s="35">
        <f>IFERROR(I324+J324,0)</f>
        <v/>
      </c>
      <c r="U324" s="59" t="n"/>
      <c r="V324" s="59" t="n"/>
      <c r="W324" s="59" t="n"/>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IF(C325="","",ROW()-2)</f>
        <v/>
      </c>
      <c r="B325" s="825" t="n"/>
      <c r="C325" s="826" t="n"/>
      <c r="D325" s="827" t="n"/>
      <c r="E325" s="828" t="n"/>
      <c r="F325" s="829" t="n"/>
      <c r="G325" s="829" t="n"/>
      <c r="H325" s="830" t="n"/>
      <c r="I325" s="37" t="n"/>
      <c r="J325" s="37" t="n"/>
      <c r="K325" s="35">
        <f>IFERROR(I325+J325,0)</f>
        <v/>
      </c>
      <c r="U325" s="59" t="n"/>
      <c r="V325" s="59" t="n"/>
      <c r="W325" s="59" t="n"/>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IF(C326="","",ROW()-2)</f>
        <v/>
      </c>
      <c r="B326" s="825" t="n"/>
      <c r="C326" s="826" t="n"/>
      <c r="D326" s="827" t="n"/>
      <c r="E326" s="828" t="n"/>
      <c r="F326" s="829" t="n"/>
      <c r="G326" s="829" t="n"/>
      <c r="H326" s="830" t="n"/>
      <c r="I326" s="37" t="n"/>
      <c r="J326" s="37" t="n"/>
      <c r="K326" s="35">
        <f>IFERROR(I326+J326,0)</f>
        <v/>
      </c>
      <c r="U326" s="59" t="n"/>
      <c r="V326" s="59" t="n"/>
      <c r="W326" s="59" t="n"/>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IF(C327="","",ROW()-2)</f>
        <v/>
      </c>
      <c r="B327" s="825" t="n"/>
      <c r="C327" s="826" t="n"/>
      <c r="D327" s="827" t="n"/>
      <c r="E327" s="828" t="n"/>
      <c r="F327" s="829" t="n"/>
      <c r="G327" s="829" t="n"/>
      <c r="H327" s="830" t="n"/>
      <c r="I327" s="37" t="n"/>
      <c r="J327" s="37" t="n"/>
      <c r="K327" s="35">
        <f>IFERROR(I327+J327,0)</f>
        <v/>
      </c>
      <c r="U327" s="59" t="n"/>
      <c r="V327" s="59" t="n"/>
      <c r="W327" s="59" t="n"/>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IF(C328="","",ROW()-2)</f>
        <v/>
      </c>
      <c r="B328" s="825" t="n"/>
      <c r="C328" s="826" t="n"/>
      <c r="D328" s="827" t="n"/>
      <c r="E328" s="828" t="n"/>
      <c r="F328" s="829" t="n"/>
      <c r="G328" s="829" t="n"/>
      <c r="H328" s="830" t="n"/>
      <c r="I328" s="37" t="n"/>
      <c r="J328" s="37" t="n"/>
      <c r="K328" s="35">
        <f>IFERROR(I328+J328,0)</f>
        <v/>
      </c>
      <c r="U328" s="59" t="n"/>
      <c r="V328" s="59" t="n"/>
      <c r="W328" s="59" t="n"/>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IF(C329="","",ROW()-2)</f>
        <v/>
      </c>
      <c r="B329" s="825" t="n"/>
      <c r="C329" s="826" t="n"/>
      <c r="D329" s="827" t="n"/>
      <c r="E329" s="828" t="n"/>
      <c r="F329" s="829" t="n"/>
      <c r="G329" s="829" t="n"/>
      <c r="H329" s="830" t="n"/>
      <c r="I329" s="37" t="n"/>
      <c r="J329" s="37" t="n"/>
      <c r="K329" s="35">
        <f>IFERROR(I329+J329,0)</f>
        <v/>
      </c>
      <c r="U329" s="59" t="n"/>
      <c r="V329" s="59" t="n"/>
      <c r="W329" s="59" t="n"/>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IF(C330="","",ROW()-2)</f>
        <v/>
      </c>
      <c r="B330" s="825" t="n"/>
      <c r="C330" s="826" t="n"/>
      <c r="D330" s="827" t="n"/>
      <c r="E330" s="828" t="n"/>
      <c r="F330" s="829" t="n"/>
      <c r="G330" s="829" t="n"/>
      <c r="H330" s="830" t="n"/>
      <c r="I330" s="37" t="n"/>
      <c r="J330" s="37" t="n"/>
      <c r="K330" s="35">
        <f>IFERROR(I330+J330,0)</f>
        <v/>
      </c>
      <c r="U330" s="59" t="n"/>
      <c r="V330" s="59" t="n"/>
      <c r="W330" s="59" t="n"/>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IF(C331="","",ROW()-2)</f>
        <v/>
      </c>
      <c r="B331" s="825" t="n"/>
      <c r="C331" s="826" t="n"/>
      <c r="D331" s="827" t="n"/>
      <c r="E331" s="828" t="n"/>
      <c r="F331" s="829" t="n"/>
      <c r="G331" s="829" t="n"/>
      <c r="H331" s="830" t="n"/>
      <c r="I331" s="37" t="n"/>
      <c r="J331" s="37" t="n"/>
      <c r="K331" s="35">
        <f>IFERROR(I331+J331,0)</f>
        <v/>
      </c>
      <c r="U331" s="59" t="n"/>
      <c r="V331" s="59" t="n"/>
      <c r="W331" s="59" t="n"/>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IF(C332="","",ROW()-2)</f>
        <v/>
      </c>
      <c r="B332" s="825" t="n"/>
      <c r="C332" s="826" t="n"/>
      <c r="D332" s="827" t="n"/>
      <c r="E332" s="828" t="n"/>
      <c r="F332" s="829" t="n"/>
      <c r="G332" s="829" t="n"/>
      <c r="H332" s="830" t="n"/>
      <c r="I332" s="37" t="n"/>
      <c r="J332" s="37" t="n"/>
      <c r="K332" s="35">
        <f>IFERROR(I332+J332,0)</f>
        <v/>
      </c>
      <c r="U332" s="59" t="n"/>
      <c r="V332" s="59" t="n"/>
      <c r="W332" s="59" t="n"/>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IF(C333="","",ROW()-2)</f>
        <v/>
      </c>
      <c r="B333" s="825" t="n"/>
      <c r="C333" s="826" t="n"/>
      <c r="D333" s="827" t="n"/>
      <c r="E333" s="828" t="n"/>
      <c r="F333" s="829" t="n"/>
      <c r="G333" s="829" t="n"/>
      <c r="H333" s="830" t="n"/>
      <c r="I333" s="37" t="n"/>
      <c r="J333" s="37" t="n"/>
      <c r="K333" s="35">
        <f>IFERROR(I333+J333,0)</f>
        <v/>
      </c>
      <c r="U333" s="59" t="n"/>
      <c r="V333" s="59" t="n"/>
      <c r="W333" s="59" t="n"/>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IF(C334="","",ROW()-2)</f>
        <v/>
      </c>
      <c r="B334" s="825" t="n"/>
      <c r="C334" s="826" t="n"/>
      <c r="D334" s="827" t="n"/>
      <c r="E334" s="828" t="n"/>
      <c r="F334" s="829" t="n"/>
      <c r="G334" s="829" t="n"/>
      <c r="H334" s="830" t="n"/>
      <c r="I334" s="37" t="n"/>
      <c r="J334" s="37" t="n"/>
      <c r="K334" s="35">
        <f>IFERROR(I334+J334,0)</f>
        <v/>
      </c>
      <c r="U334" s="59" t="n"/>
      <c r="V334" s="59" t="n"/>
      <c r="W334" s="59" t="n"/>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IF(C335="","",ROW()-2)</f>
        <v/>
      </c>
      <c r="B335" s="825" t="n"/>
      <c r="C335" s="826" t="n"/>
      <c r="D335" s="827" t="n"/>
      <c r="E335" s="828" t="n"/>
      <c r="F335" s="829" t="n"/>
      <c r="G335" s="829" t="n"/>
      <c r="H335" s="830" t="n"/>
      <c r="I335" s="37" t="n"/>
      <c r="J335" s="37" t="n"/>
      <c r="K335" s="35">
        <f>IFERROR(I335+J335,0)</f>
        <v/>
      </c>
      <c r="U335" s="59" t="n"/>
      <c r="V335" s="59" t="n"/>
      <c r="W335" s="59" t="n"/>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IF(C336="","",ROW()-2)</f>
        <v/>
      </c>
      <c r="B336" s="825" t="n"/>
      <c r="C336" s="826" t="n"/>
      <c r="D336" s="827" t="n"/>
      <c r="E336" s="828" t="n"/>
      <c r="F336" s="829" t="n"/>
      <c r="G336" s="829" t="n"/>
      <c r="H336" s="830" t="n"/>
      <c r="I336" s="37" t="n"/>
      <c r="J336" s="37" t="n"/>
      <c r="K336" s="35">
        <f>IFERROR(I336+J336,0)</f>
        <v/>
      </c>
      <c r="U336" s="59" t="n"/>
      <c r="V336" s="59" t="n"/>
      <c r="W336" s="59" t="n"/>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IF(C337="","",ROW()-2)</f>
        <v/>
      </c>
      <c r="B337" s="825" t="n"/>
      <c r="C337" s="826" t="n"/>
      <c r="D337" s="827" t="n"/>
      <c r="E337" s="828" t="n"/>
      <c r="F337" s="829" t="n"/>
      <c r="G337" s="829" t="n"/>
      <c r="H337" s="830" t="n"/>
      <c r="I337" s="37" t="n"/>
      <c r="J337" s="37" t="n"/>
      <c r="K337" s="35">
        <f>IFERROR(I337+J337,0)</f>
        <v/>
      </c>
      <c r="U337" s="59" t="n"/>
      <c r="V337" s="59" t="n"/>
      <c r="W337" s="59" t="n"/>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IF(C338="","",ROW()-2)</f>
        <v/>
      </c>
      <c r="B338" s="825" t="n"/>
      <c r="C338" s="826" t="n"/>
      <c r="D338" s="827" t="n"/>
      <c r="E338" s="828" t="n"/>
      <c r="F338" s="829" t="n"/>
      <c r="G338" s="829" t="n"/>
      <c r="H338" s="830" t="n"/>
      <c r="I338" s="37" t="n"/>
      <c r="J338" s="37" t="n"/>
      <c r="K338" s="35">
        <f>IFERROR(I338+J338,0)</f>
        <v/>
      </c>
      <c r="U338" s="59" t="n"/>
      <c r="V338" s="59" t="n"/>
      <c r="W338" s="59" t="n"/>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IF(C339="","",ROW()-2)</f>
        <v/>
      </c>
      <c r="B339" s="825" t="n"/>
      <c r="C339" s="826" t="n"/>
      <c r="D339" s="827" t="n"/>
      <c r="E339" s="828" t="n"/>
      <c r="F339" s="829" t="n"/>
      <c r="G339" s="829" t="n"/>
      <c r="H339" s="830" t="n"/>
      <c r="I339" s="37" t="n"/>
      <c r="J339" s="37" t="n"/>
      <c r="K339" s="35">
        <f>IFERROR(I339+J339,0)</f>
        <v/>
      </c>
      <c r="U339" s="59" t="n"/>
      <c r="V339" s="59" t="n"/>
      <c r="W339" s="59" t="n"/>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IF(C340="","",ROW()-2)</f>
        <v/>
      </c>
      <c r="B340" s="825" t="n"/>
      <c r="C340" s="826" t="n"/>
      <c r="D340" s="827" t="n"/>
      <c r="E340" s="828" t="n"/>
      <c r="F340" s="829" t="n"/>
      <c r="G340" s="829" t="n"/>
      <c r="H340" s="830" t="n"/>
      <c r="I340" s="37" t="n"/>
      <c r="J340" s="37" t="n"/>
      <c r="K340" s="35">
        <f>IFERROR(I340+J340,0)</f>
        <v/>
      </c>
      <c r="U340" s="59" t="n"/>
      <c r="V340" s="59" t="n"/>
      <c r="W340" s="59" t="n"/>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IF(C341="","",ROW()-2)</f>
        <v/>
      </c>
      <c r="B341" s="825" t="n"/>
      <c r="C341" s="826" t="n"/>
      <c r="D341" s="827" t="n"/>
      <c r="E341" s="828" t="n"/>
      <c r="F341" s="829" t="n"/>
      <c r="G341" s="829" t="n"/>
      <c r="H341" s="830" t="n"/>
      <c r="I341" s="37" t="n"/>
      <c r="J341" s="37" t="n"/>
      <c r="K341" s="35">
        <f>IFERROR(I341+J341,0)</f>
        <v/>
      </c>
      <c r="U341" s="59" t="n"/>
      <c r="V341" s="59" t="n"/>
      <c r="W341" s="59" t="n"/>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IF(C342="","",ROW()-2)</f>
        <v/>
      </c>
      <c r="B342" s="825" t="n"/>
      <c r="C342" s="826" t="n"/>
      <c r="D342" s="827" t="n"/>
      <c r="E342" s="828" t="n"/>
      <c r="F342" s="829" t="n"/>
      <c r="G342" s="829" t="n"/>
      <c r="H342" s="830" t="n"/>
      <c r="I342" s="37" t="n"/>
      <c r="J342" s="37" t="n"/>
      <c r="K342" s="35">
        <f>IFERROR(I342+J342,0)</f>
        <v/>
      </c>
      <c r="U342" s="59" t="n"/>
      <c r="V342" s="59" t="n"/>
      <c r="W342" s="59" t="n"/>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IF(C343="","",ROW()-2)</f>
        <v/>
      </c>
      <c r="B343" s="825" t="n"/>
      <c r="C343" s="826" t="n"/>
      <c r="D343" s="827" t="n"/>
      <c r="E343" s="828" t="n"/>
      <c r="F343" s="829" t="n"/>
      <c r="G343" s="829" t="n"/>
      <c r="H343" s="830" t="n"/>
      <c r="I343" s="37" t="n"/>
      <c r="J343" s="37" t="n"/>
      <c r="K343" s="35">
        <f>IFERROR(I343+J343,0)</f>
        <v/>
      </c>
      <c r="U343" s="59" t="n"/>
      <c r="V343" s="59" t="n"/>
      <c r="W343" s="59" t="n"/>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IF(C344="","",ROW()-2)</f>
        <v/>
      </c>
      <c r="B344" s="825" t="n"/>
      <c r="C344" s="826" t="n"/>
      <c r="D344" s="827" t="n"/>
      <c r="E344" s="828" t="n"/>
      <c r="F344" s="829" t="n"/>
      <c r="G344" s="829" t="n"/>
      <c r="H344" s="830" t="n"/>
      <c r="I344" s="37" t="n"/>
      <c r="J344" s="37" t="n"/>
      <c r="K344" s="35">
        <f>IFERROR(I344+J344,0)</f>
        <v/>
      </c>
      <c r="U344" s="59" t="n"/>
      <c r="V344" s="59" t="n"/>
      <c r="W344" s="59" t="n"/>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IF(C345="","",ROW()-2)</f>
        <v/>
      </c>
      <c r="B345" s="825" t="n"/>
      <c r="C345" s="826" t="n"/>
      <c r="D345" s="827" t="n"/>
      <c r="E345" s="828" t="n"/>
      <c r="F345" s="829" t="n"/>
      <c r="G345" s="829" t="n"/>
      <c r="H345" s="830" t="n"/>
      <c r="I345" s="37" t="n"/>
      <c r="J345" s="37" t="n"/>
      <c r="K345" s="35">
        <f>IFERROR(I345+J345,0)</f>
        <v/>
      </c>
      <c r="U345" s="59" t="n"/>
      <c r="V345" s="59" t="n"/>
      <c r="W345" s="59" t="n"/>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IF(C346="","",ROW()-2)</f>
        <v/>
      </c>
      <c r="B346" s="825" t="n"/>
      <c r="C346" s="826" t="n"/>
      <c r="D346" s="827" t="n"/>
      <c r="E346" s="828" t="n"/>
      <c r="F346" s="829" t="n"/>
      <c r="G346" s="829" t="n"/>
      <c r="H346" s="830" t="n"/>
      <c r="I346" s="37" t="n"/>
      <c r="J346" s="37" t="n"/>
      <c r="K346" s="35">
        <f>IFERROR(I346+J346,0)</f>
        <v/>
      </c>
      <c r="U346" s="59" t="n"/>
      <c r="V346" s="59" t="n"/>
      <c r="W346" s="59" t="n"/>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IF(C347="","",ROW()-2)</f>
        <v/>
      </c>
      <c r="B347" s="825" t="n"/>
      <c r="C347" s="826" t="n"/>
      <c r="D347" s="827" t="n"/>
      <c r="E347" s="828" t="n"/>
      <c r="F347" s="829" t="n"/>
      <c r="G347" s="829" t="n"/>
      <c r="H347" s="830" t="n"/>
      <c r="I347" s="37" t="n"/>
      <c r="J347" s="37" t="n"/>
      <c r="K347" s="35">
        <f>IFERROR(I347+J347,0)</f>
        <v/>
      </c>
      <c r="U347" s="59" t="n"/>
      <c r="V347" s="59" t="n"/>
      <c r="W347" s="59" t="n"/>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IF(C348="","",ROW()-2)</f>
        <v/>
      </c>
      <c r="B348" s="825" t="n"/>
      <c r="C348" s="826" t="n"/>
      <c r="D348" s="827" t="n"/>
      <c r="E348" s="828" t="n"/>
      <c r="F348" s="829" t="n"/>
      <c r="G348" s="829" t="n"/>
      <c r="H348" s="830" t="n"/>
      <c r="I348" s="37" t="n"/>
      <c r="J348" s="37" t="n"/>
      <c r="K348" s="35">
        <f>IFERROR(I348+J348,0)</f>
        <v/>
      </c>
      <c r="U348" s="59" t="n"/>
      <c r="V348" s="59" t="n"/>
      <c r="W348" s="59" t="n"/>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IF(C349="","",ROW()-2)</f>
        <v/>
      </c>
      <c r="B349" s="825" t="n"/>
      <c r="C349" s="826" t="n"/>
      <c r="D349" s="827" t="n"/>
      <c r="E349" s="828" t="n"/>
      <c r="F349" s="829" t="n"/>
      <c r="G349" s="829" t="n"/>
      <c r="H349" s="830" t="n"/>
      <c r="I349" s="37" t="n"/>
      <c r="J349" s="37" t="n"/>
      <c r="K349" s="35">
        <f>IFERROR(I349+J349,0)</f>
        <v/>
      </c>
      <c r="U349" s="59" t="n"/>
      <c r="V349" s="59" t="n"/>
      <c r="W349" s="59" t="n"/>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IF(C350="","",ROW()-2)</f>
        <v/>
      </c>
      <c r="B350" s="825" t="n"/>
      <c r="C350" s="826" t="n"/>
      <c r="D350" s="827" t="n"/>
      <c r="E350" s="828" t="n"/>
      <c r="F350" s="829" t="n"/>
      <c r="G350" s="829" t="n"/>
      <c r="H350" s="830" t="n"/>
      <c r="I350" s="37" t="n"/>
      <c r="J350" s="37" t="n"/>
      <c r="K350" s="35">
        <f>IFERROR(I350+J350,0)</f>
        <v/>
      </c>
      <c r="U350" s="59" t="n"/>
      <c r="V350" s="59" t="n"/>
      <c r="W350" s="59" t="n"/>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IF(C351="","",ROW()-2)</f>
        <v/>
      </c>
      <c r="B351" s="825" t="n"/>
      <c r="C351" s="826" t="n"/>
      <c r="D351" s="827" t="n"/>
      <c r="E351" s="828" t="n"/>
      <c r="F351" s="829" t="n"/>
      <c r="G351" s="829" t="n"/>
      <c r="H351" s="830" t="n"/>
      <c r="I351" s="37" t="n"/>
      <c r="J351" s="37" t="n"/>
      <c r="K351" s="35">
        <f>IFERROR(I351+J351,0)</f>
        <v/>
      </c>
      <c r="U351" s="59" t="n"/>
      <c r="V351" s="59" t="n"/>
      <c r="W351" s="59" t="n"/>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IF(C352="","",ROW()-2)</f>
        <v/>
      </c>
      <c r="B352" s="825" t="n"/>
      <c r="C352" s="826" t="n"/>
      <c r="D352" s="827" t="n"/>
      <c r="E352" s="828" t="n"/>
      <c r="F352" s="829" t="n"/>
      <c r="G352" s="829" t="n"/>
      <c r="H352" s="830" t="n"/>
      <c r="I352" s="37" t="n"/>
      <c r="J352" s="37" t="n"/>
      <c r="K352" s="35">
        <f>IFERROR(I352+J352,0)</f>
        <v/>
      </c>
      <c r="U352" s="59" t="n"/>
      <c r="V352" s="59" t="n"/>
      <c r="W352" s="59" t="n"/>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IF(C353="","",ROW()-2)</f>
        <v/>
      </c>
      <c r="B353" s="825" t="n"/>
      <c r="C353" s="826" t="n"/>
      <c r="D353" s="827" t="n"/>
      <c r="E353" s="828" t="n"/>
      <c r="F353" s="829" t="n"/>
      <c r="G353" s="829" t="n"/>
      <c r="H353" s="830" t="n"/>
      <c r="I353" s="37" t="n"/>
      <c r="J353" s="37" t="n"/>
      <c r="K353" s="35">
        <f>IFERROR(I353+J353,0)</f>
        <v/>
      </c>
      <c r="U353" s="59" t="n"/>
      <c r="V353" s="59" t="n"/>
      <c r="W353" s="59" t="n"/>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IF(C354="","",ROW()-2)</f>
        <v/>
      </c>
      <c r="B354" s="825" t="n"/>
      <c r="C354" s="826" t="n"/>
      <c r="D354" s="827" t="n"/>
      <c r="E354" s="828" t="n"/>
      <c r="F354" s="829" t="n"/>
      <c r="G354" s="829" t="n"/>
      <c r="H354" s="830" t="n"/>
      <c r="I354" s="37" t="n"/>
      <c r="J354" s="37" t="n"/>
      <c r="K354" s="35">
        <f>IFERROR(I354+J354,0)</f>
        <v/>
      </c>
      <c r="U354" s="59" t="n"/>
      <c r="V354" s="59" t="n"/>
      <c r="W354" s="59" t="n"/>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IF(C355="","",ROW()-2)</f>
        <v/>
      </c>
      <c r="B355" s="825" t="n"/>
      <c r="C355" s="826" t="n"/>
      <c r="D355" s="827" t="n"/>
      <c r="E355" s="828" t="n"/>
      <c r="F355" s="829" t="n"/>
      <c r="G355" s="829" t="n"/>
      <c r="H355" s="830" t="n"/>
      <c r="I355" s="37" t="n"/>
      <c r="J355" s="37" t="n"/>
      <c r="K355" s="35">
        <f>IFERROR(I355+J355,0)</f>
        <v/>
      </c>
      <c r="U355" s="59" t="n"/>
      <c r="V355" s="59" t="n"/>
      <c r="W355" s="59" t="n"/>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IF(C356="","",ROW()-2)</f>
        <v/>
      </c>
      <c r="B356" s="825" t="n"/>
      <c r="C356" s="826" t="n"/>
      <c r="D356" s="827" t="n"/>
      <c r="E356" s="828" t="n"/>
      <c r="F356" s="829" t="n"/>
      <c r="G356" s="829" t="n"/>
      <c r="H356" s="830" t="n"/>
      <c r="I356" s="37" t="n"/>
      <c r="J356" s="37" t="n"/>
      <c r="K356" s="35">
        <f>IFERROR(I356+J356,0)</f>
        <v/>
      </c>
      <c r="U356" s="59" t="n"/>
      <c r="V356" s="59" t="n"/>
      <c r="W356" s="59" t="n"/>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IF(C357="","",ROW()-2)</f>
        <v/>
      </c>
      <c r="B357" s="825" t="n"/>
      <c r="C357" s="826" t="n"/>
      <c r="D357" s="827" t="n"/>
      <c r="E357" s="828" t="n"/>
      <c r="F357" s="829" t="n"/>
      <c r="G357" s="829" t="n"/>
      <c r="H357" s="830" t="n"/>
      <c r="I357" s="37" t="n"/>
      <c r="J357" s="37" t="n"/>
      <c r="K357" s="35">
        <f>IFERROR(I357+J357,0)</f>
        <v/>
      </c>
      <c r="U357" s="59" t="n"/>
      <c r="V357" s="59" t="n"/>
      <c r="W357" s="59" t="n"/>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IF(C358="","",ROW()-2)</f>
        <v/>
      </c>
      <c r="B358" s="825" t="n"/>
      <c r="C358" s="826" t="n"/>
      <c r="D358" s="827" t="n"/>
      <c r="E358" s="828" t="n"/>
      <c r="F358" s="829" t="n"/>
      <c r="G358" s="829" t="n"/>
      <c r="H358" s="830" t="n"/>
      <c r="I358" s="37" t="n"/>
      <c r="J358" s="37" t="n"/>
      <c r="K358" s="35">
        <f>IFERROR(I358+J358,0)</f>
        <v/>
      </c>
      <c r="U358" s="59" t="n"/>
      <c r="V358" s="59" t="n"/>
      <c r="W358" s="59" t="n"/>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IF(C359="","",ROW()-2)</f>
        <v/>
      </c>
      <c r="B359" s="825" t="n"/>
      <c r="C359" s="826" t="n"/>
      <c r="D359" s="827" t="n"/>
      <c r="E359" s="828" t="n"/>
      <c r="F359" s="829" t="n"/>
      <c r="G359" s="829" t="n"/>
      <c r="H359" s="830" t="n"/>
      <c r="I359" s="37" t="n"/>
      <c r="J359" s="37" t="n"/>
      <c r="K359" s="35">
        <f>IFERROR(I359+J359,0)</f>
        <v/>
      </c>
      <c r="U359" s="59" t="n"/>
      <c r="V359" s="59" t="n"/>
      <c r="W359" s="59" t="n"/>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IF(C360="","",ROW()-2)</f>
        <v/>
      </c>
      <c r="B360" s="825" t="n"/>
      <c r="C360" s="826" t="n"/>
      <c r="D360" s="827" t="n"/>
      <c r="E360" s="828" t="n"/>
      <c r="F360" s="829" t="n"/>
      <c r="G360" s="829" t="n"/>
      <c r="H360" s="830" t="n"/>
      <c r="I360" s="37" t="n"/>
      <c r="J360" s="37" t="n"/>
      <c r="K360" s="35">
        <f>IFERROR(I360+J360,0)</f>
        <v/>
      </c>
      <c r="U360" s="59" t="n"/>
      <c r="V360" s="59" t="n"/>
      <c r="W360" s="59" t="n"/>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IF(C361="","",ROW()-2)</f>
        <v/>
      </c>
      <c r="B361" s="825" t="n"/>
      <c r="C361" s="826" t="n"/>
      <c r="D361" s="827" t="n"/>
      <c r="E361" s="828" t="n"/>
      <c r="F361" s="829" t="n"/>
      <c r="G361" s="829" t="n"/>
      <c r="H361" s="830" t="n"/>
      <c r="I361" s="37" t="n"/>
      <c r="J361" s="37" t="n"/>
      <c r="K361" s="35">
        <f>IFERROR(I361+J361,0)</f>
        <v/>
      </c>
      <c r="U361" s="59" t="n"/>
      <c r="V361" s="59" t="n"/>
      <c r="W361" s="59" t="n"/>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IF(C362="","",ROW()-2)</f>
        <v/>
      </c>
      <c r="B362" s="825" t="n"/>
      <c r="C362" s="826" t="n"/>
      <c r="D362" s="827" t="n"/>
      <c r="E362" s="828" t="n"/>
      <c r="F362" s="829" t="n"/>
      <c r="G362" s="829" t="n"/>
      <c r="H362" s="830" t="n"/>
      <c r="I362" s="37" t="n"/>
      <c r="J362" s="37" t="n"/>
      <c r="K362" s="35">
        <f>IFERROR(I362+J362,0)</f>
        <v/>
      </c>
      <c r="U362" s="59" t="n"/>
      <c r="V362" s="59" t="n"/>
      <c r="W362" s="59" t="n"/>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IF(C363="","",ROW()-2)</f>
        <v/>
      </c>
      <c r="B363" s="825" t="n"/>
      <c r="C363" s="826" t="n"/>
      <c r="D363" s="827" t="n"/>
      <c r="E363" s="828" t="n"/>
      <c r="F363" s="829" t="n"/>
      <c r="G363" s="829" t="n"/>
      <c r="H363" s="830" t="n"/>
      <c r="I363" s="37" t="n"/>
      <c r="J363" s="37" t="n"/>
      <c r="K363" s="35">
        <f>IFERROR(I363+J363,0)</f>
        <v/>
      </c>
      <c r="U363" s="59" t="n"/>
      <c r="V363" s="59" t="n"/>
      <c r="W363" s="59" t="n"/>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IF(C364="","",ROW()-2)</f>
        <v/>
      </c>
      <c r="B364" s="825" t="n"/>
      <c r="C364" s="826" t="n"/>
      <c r="D364" s="827" t="n"/>
      <c r="E364" s="828" t="n"/>
      <c r="F364" s="829" t="n"/>
      <c r="G364" s="829" t="n"/>
      <c r="H364" s="830" t="n"/>
      <c r="I364" s="37" t="n"/>
      <c r="J364" s="37" t="n"/>
      <c r="K364" s="35">
        <f>IFERROR(I364+J364,0)</f>
        <v/>
      </c>
      <c r="U364" s="59" t="n"/>
      <c r="V364" s="59" t="n"/>
      <c r="W364" s="59" t="n"/>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IF(C365="","",ROW()-2)</f>
        <v/>
      </c>
      <c r="B365" s="825" t="n"/>
      <c r="C365" s="826" t="n"/>
      <c r="D365" s="827" t="n"/>
      <c r="E365" s="828" t="n"/>
      <c r="F365" s="829" t="n"/>
      <c r="G365" s="829" t="n"/>
      <c r="H365" s="830" t="n"/>
      <c r="I365" s="37" t="n"/>
      <c r="J365" s="37" t="n"/>
      <c r="K365" s="35">
        <f>IFERROR(I365+J365,0)</f>
        <v/>
      </c>
      <c r="U365" s="59" t="n"/>
      <c r="V365" s="59" t="n"/>
      <c r="W365" s="59" t="n"/>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IF(C366="","",ROW()-2)</f>
        <v/>
      </c>
      <c r="B366" s="825" t="n"/>
      <c r="C366" s="826" t="n"/>
      <c r="D366" s="827" t="n"/>
      <c r="E366" s="828" t="n"/>
      <c r="F366" s="829" t="n"/>
      <c r="G366" s="829" t="n"/>
      <c r="H366" s="830" t="n"/>
      <c r="I366" s="37" t="n"/>
      <c r="J366" s="37" t="n"/>
      <c r="K366" s="35">
        <f>IFERROR(I366+J366,0)</f>
        <v/>
      </c>
      <c r="U366" s="59" t="n"/>
      <c r="V366" s="59" t="n"/>
      <c r="W366" s="59" t="n"/>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IF(C367="","",ROW()-2)</f>
        <v/>
      </c>
      <c r="B367" s="825" t="n"/>
      <c r="C367" s="826" t="n"/>
      <c r="D367" s="827" t="n"/>
      <c r="E367" s="828" t="n"/>
      <c r="F367" s="829" t="n"/>
      <c r="G367" s="829" t="n"/>
      <c r="H367" s="830" t="n"/>
      <c r="I367" s="37" t="n"/>
      <c r="J367" s="37" t="n"/>
      <c r="K367" s="35">
        <f>IFERROR(I367+J367,0)</f>
        <v/>
      </c>
      <c r="U367" s="59" t="n"/>
      <c r="V367" s="59" t="n"/>
      <c r="W367" s="59" t="n"/>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IF(C368="","",ROW()-2)</f>
        <v/>
      </c>
      <c r="B368" s="825" t="n"/>
      <c r="C368" s="826" t="n"/>
      <c r="D368" s="827" t="n"/>
      <c r="E368" s="828" t="n"/>
      <c r="F368" s="829" t="n"/>
      <c r="G368" s="829" t="n"/>
      <c r="H368" s="830" t="n"/>
      <c r="I368" s="37" t="n"/>
      <c r="J368" s="37" t="n"/>
      <c r="K368" s="35">
        <f>IFERROR(I368+J368,0)</f>
        <v/>
      </c>
      <c r="U368" s="59" t="n"/>
      <c r="V368" s="59" t="n"/>
      <c r="W368" s="59" t="n"/>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IF(C369="","",ROW()-2)</f>
        <v/>
      </c>
      <c r="B369" s="825" t="n"/>
      <c r="C369" s="826" t="n"/>
      <c r="D369" s="827" t="n"/>
      <c r="E369" s="828" t="n"/>
      <c r="F369" s="829" t="n"/>
      <c r="G369" s="829" t="n"/>
      <c r="H369" s="830" t="n"/>
      <c r="I369" s="37" t="n"/>
      <c r="J369" s="37" t="n"/>
      <c r="K369" s="35">
        <f>IFERROR(I369+J369,0)</f>
        <v/>
      </c>
      <c r="U369" s="59" t="n"/>
      <c r="V369" s="59" t="n"/>
      <c r="W369" s="59" t="n"/>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IF(C370="","",ROW()-2)</f>
        <v/>
      </c>
      <c r="B370" s="825" t="n"/>
      <c r="C370" s="826" t="n"/>
      <c r="D370" s="827" t="n"/>
      <c r="E370" s="828" t="n"/>
      <c r="F370" s="829" t="n"/>
      <c r="G370" s="829" t="n"/>
      <c r="H370" s="830" t="n"/>
      <c r="I370" s="37" t="n"/>
      <c r="J370" s="37" t="n"/>
      <c r="K370" s="35">
        <f>IFERROR(I370+J370,0)</f>
        <v/>
      </c>
      <c r="U370" s="59" t="n"/>
      <c r="V370" s="59" t="n"/>
      <c r="W370" s="59" t="n"/>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IF(C371="","",ROW()-2)</f>
        <v/>
      </c>
      <c r="B371" s="825" t="n"/>
      <c r="C371" s="826" t="n"/>
      <c r="D371" s="827" t="n"/>
      <c r="E371" s="828" t="n"/>
      <c r="F371" s="829" t="n"/>
      <c r="G371" s="829" t="n"/>
      <c r="H371" s="830" t="n"/>
      <c r="I371" s="37" t="n"/>
      <c r="J371" s="37" t="n"/>
      <c r="K371" s="35">
        <f>IFERROR(I371+J371,0)</f>
        <v/>
      </c>
      <c r="U371" s="59" t="n"/>
      <c r="V371" s="59" t="n"/>
      <c r="W371" s="59" t="n"/>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IF(C372="","",ROW()-2)</f>
        <v/>
      </c>
      <c r="B372" s="825" t="n"/>
      <c r="C372" s="826" t="n"/>
      <c r="D372" s="827" t="n"/>
      <c r="E372" s="828" t="n"/>
      <c r="F372" s="829" t="n"/>
      <c r="G372" s="829" t="n"/>
      <c r="H372" s="830" t="n"/>
      <c r="I372" s="37" t="n"/>
      <c r="J372" s="37" t="n"/>
      <c r="K372" s="35">
        <f>IFERROR(I372+J372,0)</f>
        <v/>
      </c>
      <c r="U372" s="59" t="n"/>
      <c r="V372" s="59" t="n"/>
      <c r="W372" s="59" t="n"/>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IF(C373="","",ROW()-2)</f>
        <v/>
      </c>
      <c r="B373" s="825" t="n"/>
      <c r="C373" s="826" t="n"/>
      <c r="D373" s="827" t="n"/>
      <c r="E373" s="828" t="n"/>
      <c r="F373" s="829" t="n"/>
      <c r="G373" s="829" t="n"/>
      <c r="H373" s="830" t="n"/>
      <c r="I373" s="37" t="n"/>
      <c r="J373" s="37" t="n"/>
      <c r="K373" s="35">
        <f>IFERROR(I373+J373,0)</f>
        <v/>
      </c>
      <c r="U373" s="59" t="n"/>
      <c r="V373" s="59" t="n"/>
      <c r="W373" s="59" t="n"/>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IF(C374="","",ROW()-2)</f>
        <v/>
      </c>
      <c r="B374" s="825" t="n"/>
      <c r="C374" s="826" t="n"/>
      <c r="D374" s="827" t="n"/>
      <c r="E374" s="828" t="n"/>
      <c r="F374" s="829" t="n"/>
      <c r="G374" s="829" t="n"/>
      <c r="H374" s="830" t="n"/>
      <c r="I374" s="37" t="n"/>
      <c r="J374" s="37" t="n"/>
      <c r="K374" s="35">
        <f>IFERROR(I374+J374,0)</f>
        <v/>
      </c>
      <c r="U374" s="59" t="n"/>
      <c r="V374" s="59" t="n"/>
      <c r="W374" s="59" t="n"/>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IF(C375="","",ROW()-2)</f>
        <v/>
      </c>
      <c r="B375" s="825" t="n"/>
      <c r="C375" s="826" t="n"/>
      <c r="D375" s="827" t="n"/>
      <c r="E375" s="828" t="n"/>
      <c r="F375" s="829" t="n"/>
      <c r="G375" s="829" t="n"/>
      <c r="H375" s="830" t="n"/>
      <c r="I375" s="37" t="n"/>
      <c r="J375" s="37" t="n"/>
      <c r="K375" s="35">
        <f>IFERROR(I375+J375,0)</f>
        <v/>
      </c>
      <c r="U375" s="59" t="n"/>
      <c r="V375" s="59" t="n"/>
      <c r="W375" s="59" t="n"/>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IF(C376="","",ROW()-2)</f>
        <v/>
      </c>
      <c r="B376" s="825" t="n"/>
      <c r="C376" s="826" t="n"/>
      <c r="D376" s="827" t="n"/>
      <c r="E376" s="828" t="n"/>
      <c r="F376" s="829" t="n"/>
      <c r="G376" s="829" t="n"/>
      <c r="H376" s="830" t="n"/>
      <c r="I376" s="37" t="n"/>
      <c r="J376" s="37" t="n"/>
      <c r="K376" s="35">
        <f>IFERROR(I376+J376,0)</f>
        <v/>
      </c>
      <c r="U376" s="59" t="n"/>
      <c r="V376" s="59" t="n"/>
      <c r="W376" s="59" t="n"/>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IF(C377="","",ROW()-2)</f>
        <v/>
      </c>
      <c r="B377" s="825" t="n"/>
      <c r="C377" s="826" t="n"/>
      <c r="D377" s="827" t="n"/>
      <c r="E377" s="828" t="n"/>
      <c r="F377" s="829" t="n"/>
      <c r="G377" s="829" t="n"/>
      <c r="H377" s="830" t="n"/>
      <c r="I377" s="37" t="n"/>
      <c r="J377" s="37" t="n"/>
      <c r="K377" s="35">
        <f>IFERROR(I377+J377,0)</f>
        <v/>
      </c>
      <c r="U377" s="59" t="n"/>
      <c r="V377" s="59" t="n"/>
      <c r="W377" s="59" t="n"/>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IF(C378="","",ROW()-2)</f>
        <v/>
      </c>
      <c r="B378" s="825" t="n"/>
      <c r="C378" s="826" t="n"/>
      <c r="D378" s="827" t="n"/>
      <c r="E378" s="828" t="n"/>
      <c r="F378" s="829" t="n"/>
      <c r="G378" s="829" t="n"/>
      <c r="H378" s="830" t="n"/>
      <c r="I378" s="37" t="n"/>
      <c r="J378" s="37" t="n"/>
      <c r="K378" s="35">
        <f>IFERROR(I378+J378,0)</f>
        <v/>
      </c>
      <c r="U378" s="59" t="n"/>
      <c r="V378" s="59" t="n"/>
      <c r="W378" s="59" t="n"/>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IF(C379="","",ROW()-2)</f>
        <v/>
      </c>
      <c r="B379" s="825" t="n"/>
      <c r="C379" s="826" t="n"/>
      <c r="D379" s="827" t="n"/>
      <c r="E379" s="828" t="n"/>
      <c r="F379" s="829" t="n"/>
      <c r="G379" s="829" t="n"/>
      <c r="H379" s="830" t="n"/>
      <c r="I379" s="37" t="n"/>
      <c r="J379" s="37" t="n"/>
      <c r="K379" s="35">
        <f>IFERROR(I379+J379,0)</f>
        <v/>
      </c>
      <c r="U379" s="59" t="n"/>
      <c r="V379" s="59" t="n"/>
      <c r="W379" s="59" t="n"/>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IF(C380="","",ROW()-2)</f>
        <v/>
      </c>
      <c r="B380" s="825" t="n"/>
      <c r="C380" s="826" t="n"/>
      <c r="D380" s="827" t="n"/>
      <c r="E380" s="828" t="n"/>
      <c r="F380" s="829" t="n"/>
      <c r="G380" s="829" t="n"/>
      <c r="H380" s="830" t="n"/>
      <c r="I380" s="37" t="n"/>
      <c r="J380" s="37" t="n"/>
      <c r="K380" s="35">
        <f>IFERROR(I380+J380,0)</f>
        <v/>
      </c>
      <c r="U380" s="59" t="n"/>
      <c r="V380" s="59" t="n"/>
      <c r="W380" s="59" t="n"/>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IF(C381="","",ROW()-2)</f>
        <v/>
      </c>
      <c r="B381" s="825" t="n"/>
      <c r="C381" s="826" t="n"/>
      <c r="D381" s="827" t="n"/>
      <c r="E381" s="828" t="n"/>
      <c r="F381" s="829" t="n"/>
      <c r="G381" s="829" t="n"/>
      <c r="H381" s="830" t="n"/>
      <c r="I381" s="37" t="n"/>
      <c r="J381" s="37" t="n"/>
      <c r="K381" s="35">
        <f>IFERROR(I381+J381,0)</f>
        <v/>
      </c>
      <c r="U381" s="59" t="n"/>
      <c r="V381" s="59" t="n"/>
      <c r="W381" s="59" t="n"/>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IF(C382="","",ROW()-2)</f>
        <v/>
      </c>
      <c r="B382" s="825" t="n"/>
      <c r="C382" s="826" t="n"/>
      <c r="D382" s="827" t="n"/>
      <c r="E382" s="828" t="n"/>
      <c r="F382" s="829" t="n"/>
      <c r="G382" s="829" t="n"/>
      <c r="H382" s="830" t="n"/>
      <c r="I382" s="37" t="n"/>
      <c r="J382" s="37" t="n"/>
      <c r="K382" s="35">
        <f>IFERROR(I382+J382,0)</f>
        <v/>
      </c>
      <c r="U382" s="59" t="n"/>
      <c r="V382" s="59" t="n"/>
      <c r="W382" s="59" t="n"/>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IF(C383="","",ROW()-2)</f>
        <v/>
      </c>
      <c r="B383" s="825" t="n"/>
      <c r="C383" s="826" t="n"/>
      <c r="D383" s="827" t="n"/>
      <c r="E383" s="828" t="n"/>
      <c r="F383" s="829" t="n"/>
      <c r="G383" s="829" t="n"/>
      <c r="H383" s="830" t="n"/>
      <c r="I383" s="37" t="n"/>
      <c r="J383" s="37" t="n"/>
      <c r="K383" s="35">
        <f>IFERROR(I383+J383,0)</f>
        <v/>
      </c>
      <c r="U383" s="59" t="n"/>
      <c r="V383" s="59" t="n"/>
      <c r="W383" s="59" t="n"/>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IF(C384="","",ROW()-2)</f>
        <v/>
      </c>
      <c r="B384" s="825" t="n"/>
      <c r="C384" s="826" t="n"/>
      <c r="D384" s="827" t="n"/>
      <c r="E384" s="828" t="n"/>
      <c r="F384" s="829" t="n"/>
      <c r="G384" s="829" t="n"/>
      <c r="H384" s="830" t="n"/>
      <c r="I384" s="37" t="n"/>
      <c r="J384" s="37" t="n"/>
      <c r="K384" s="35">
        <f>IFERROR(I384+J384,0)</f>
        <v/>
      </c>
      <c r="U384" s="59" t="n"/>
      <c r="V384" s="59" t="n"/>
      <c r="W384" s="59" t="n"/>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IF(C385="","",ROW()-2)</f>
        <v/>
      </c>
      <c r="B385" s="825" t="n"/>
      <c r="C385" s="826" t="n"/>
      <c r="D385" s="827" t="n"/>
      <c r="E385" s="828" t="n"/>
      <c r="F385" s="829" t="n"/>
      <c r="G385" s="829" t="n"/>
      <c r="H385" s="830" t="n"/>
      <c r="I385" s="37" t="n"/>
      <c r="J385" s="37" t="n"/>
      <c r="K385" s="35">
        <f>IFERROR(I385+J385,0)</f>
        <v/>
      </c>
      <c r="U385" s="59" t="n"/>
      <c r="V385" s="59" t="n"/>
      <c r="W385" s="59" t="n"/>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IF(C386="","",ROW()-2)</f>
        <v/>
      </c>
      <c r="B386" s="825" t="n"/>
      <c r="C386" s="826" t="n"/>
      <c r="D386" s="827" t="n"/>
      <c r="E386" s="828" t="n"/>
      <c r="F386" s="829" t="n"/>
      <c r="G386" s="829" t="n"/>
      <c r="H386" s="830" t="n"/>
      <c r="I386" s="37" t="n"/>
      <c r="J386" s="37" t="n"/>
      <c r="K386" s="35">
        <f>IFERROR(I386+J386,0)</f>
        <v/>
      </c>
      <c r="U386" s="59" t="n"/>
      <c r="V386" s="59" t="n"/>
      <c r="W386" s="59" t="n"/>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IF(C387="","",ROW()-2)</f>
        <v/>
      </c>
      <c r="B387" s="825" t="n"/>
      <c r="C387" s="826" t="n"/>
      <c r="D387" s="827" t="n"/>
      <c r="E387" s="828" t="n"/>
      <c r="F387" s="829" t="n"/>
      <c r="G387" s="829" t="n"/>
      <c r="H387" s="830" t="n"/>
      <c r="I387" s="37" t="n"/>
      <c r="J387" s="37" t="n"/>
      <c r="K387" s="35">
        <f>IFERROR(I387+J387,0)</f>
        <v/>
      </c>
      <c r="U387" s="59" t="n"/>
      <c r="V387" s="59" t="n"/>
      <c r="W387" s="59" t="n"/>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IF(C388="","",ROW()-2)</f>
        <v/>
      </c>
      <c r="B388" s="825" t="n"/>
      <c r="C388" s="826" t="n"/>
      <c r="D388" s="827" t="n"/>
      <c r="E388" s="828" t="n"/>
      <c r="F388" s="829" t="n"/>
      <c r="G388" s="829" t="n"/>
      <c r="H388" s="830" t="n"/>
      <c r="I388" s="37" t="n"/>
      <c r="J388" s="37" t="n"/>
      <c r="K388" s="35">
        <f>IFERROR(I388+J388,0)</f>
        <v/>
      </c>
      <c r="U388" s="59" t="n"/>
      <c r="V388" s="59" t="n"/>
      <c r="W388" s="59" t="n"/>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IF(C389="","",ROW()-2)</f>
        <v/>
      </c>
      <c r="B389" s="825" t="n"/>
      <c r="C389" s="826" t="n"/>
      <c r="D389" s="827" t="n"/>
      <c r="E389" s="828" t="n"/>
      <c r="F389" s="829" t="n"/>
      <c r="G389" s="829" t="n"/>
      <c r="H389" s="830" t="n"/>
      <c r="I389" s="37" t="n"/>
      <c r="J389" s="37" t="n"/>
      <c r="K389" s="35">
        <f>IFERROR(I389+J389,0)</f>
        <v/>
      </c>
      <c r="U389" s="59" t="n"/>
      <c r="V389" s="59" t="n"/>
      <c r="W389" s="59" t="n"/>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IF(C390="","",ROW()-2)</f>
        <v/>
      </c>
      <c r="B390" s="825" t="n"/>
      <c r="C390" s="826" t="n"/>
      <c r="D390" s="827" t="n"/>
      <c r="E390" s="828" t="n"/>
      <c r="F390" s="829" t="n"/>
      <c r="G390" s="829" t="n"/>
      <c r="H390" s="830" t="n"/>
      <c r="I390" s="37" t="n"/>
      <c r="J390" s="37" t="n"/>
      <c r="K390" s="35">
        <f>IFERROR(I390+J390,0)</f>
        <v/>
      </c>
      <c r="U390" s="59" t="n"/>
      <c r="V390" s="59" t="n"/>
      <c r="W390" s="59" t="n"/>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IF(C391="","",ROW()-2)</f>
        <v/>
      </c>
      <c r="B391" s="825" t="n"/>
      <c r="C391" s="826" t="n"/>
      <c r="D391" s="827" t="n"/>
      <c r="E391" s="828" t="n"/>
      <c r="F391" s="829" t="n"/>
      <c r="G391" s="829" t="n"/>
      <c r="H391" s="830" t="n"/>
      <c r="I391" s="37" t="n"/>
      <c r="J391" s="37" t="n"/>
      <c r="K391" s="35">
        <f>IFERROR(I391+J391,0)</f>
        <v/>
      </c>
      <c r="U391" s="59" t="n"/>
      <c r="V391" s="59" t="n"/>
      <c r="W391" s="59" t="n"/>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IF(C392="","",ROW()-2)</f>
        <v/>
      </c>
      <c r="B392" s="825" t="n"/>
      <c r="C392" s="826" t="n"/>
      <c r="D392" s="827" t="n"/>
      <c r="E392" s="828" t="n"/>
      <c r="F392" s="829" t="n"/>
      <c r="G392" s="829" t="n"/>
      <c r="H392" s="830" t="n"/>
      <c r="I392" s="37" t="n"/>
      <c r="J392" s="37" t="n"/>
      <c r="K392" s="35">
        <f>IFERROR(I392+J392,0)</f>
        <v/>
      </c>
      <c r="U392" s="59" t="n"/>
      <c r="V392" s="59" t="n"/>
      <c r="W392" s="59" t="n"/>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IF(C393="","",ROW()-2)</f>
        <v/>
      </c>
      <c r="B393" s="825" t="n"/>
      <c r="C393" s="826" t="n"/>
      <c r="D393" s="827" t="n"/>
      <c r="E393" s="828" t="n"/>
      <c r="F393" s="829" t="n"/>
      <c r="G393" s="829" t="n"/>
      <c r="H393" s="830" t="n"/>
      <c r="I393" s="37" t="n"/>
      <c r="J393" s="37" t="n"/>
      <c r="K393" s="35">
        <f>IFERROR(I393+J393,0)</f>
        <v/>
      </c>
      <c r="U393" s="59" t="n"/>
      <c r="V393" s="59" t="n"/>
      <c r="W393" s="59" t="n"/>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IF(C394="","",ROW()-2)</f>
        <v/>
      </c>
      <c r="B394" s="825" t="n"/>
      <c r="C394" s="826" t="n"/>
      <c r="D394" s="827" t="n"/>
      <c r="E394" s="828" t="n"/>
      <c r="F394" s="829" t="n"/>
      <c r="G394" s="829" t="n"/>
      <c r="H394" s="830" t="n"/>
      <c r="I394" s="37" t="n"/>
      <c r="J394" s="37" t="n"/>
      <c r="K394" s="35">
        <f>IFERROR(I394+J394,0)</f>
        <v/>
      </c>
      <c r="U394" s="59" t="n"/>
      <c r="V394" s="59" t="n"/>
      <c r="W394" s="59" t="n"/>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IF(C395="","",ROW()-2)</f>
        <v/>
      </c>
      <c r="B395" s="825" t="n"/>
      <c r="C395" s="826" t="n"/>
      <c r="D395" s="827" t="n"/>
      <c r="E395" s="828" t="n"/>
      <c r="F395" s="829" t="n"/>
      <c r="G395" s="829" t="n"/>
      <c r="H395" s="830" t="n"/>
      <c r="I395" s="37" t="n"/>
      <c r="J395" s="37" t="n"/>
      <c r="K395" s="35">
        <f>IFERROR(I395+J395,0)</f>
        <v/>
      </c>
      <c r="U395" s="59" t="n"/>
      <c r="V395" s="59" t="n"/>
      <c r="W395" s="59" t="n"/>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IF(C396="","",ROW()-2)</f>
        <v/>
      </c>
      <c r="B396" s="825" t="n"/>
      <c r="C396" s="826" t="n"/>
      <c r="D396" s="827" t="n"/>
      <c r="E396" s="828" t="n"/>
      <c r="F396" s="829" t="n"/>
      <c r="G396" s="829" t="n"/>
      <c r="H396" s="830" t="n"/>
      <c r="I396" s="37" t="n"/>
      <c r="J396" s="37" t="n"/>
      <c r="K396" s="35">
        <f>IFERROR(I396+J396,0)</f>
        <v/>
      </c>
      <c r="U396" s="59" t="n"/>
      <c r="V396" s="59" t="n"/>
      <c r="W396" s="59" t="n"/>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IF(C397="","",ROW()-2)</f>
        <v/>
      </c>
      <c r="B397" s="825" t="n"/>
      <c r="C397" s="826" t="n"/>
      <c r="D397" s="827" t="n"/>
      <c r="E397" s="828" t="n"/>
      <c r="F397" s="829" t="n"/>
      <c r="G397" s="829" t="n"/>
      <c r="H397" s="830" t="n"/>
      <c r="I397" s="37" t="n"/>
      <c r="J397" s="37" t="n"/>
      <c r="K397" s="35">
        <f>IFERROR(I397+J397,0)</f>
        <v/>
      </c>
      <c r="U397" s="59" t="n"/>
      <c r="V397" s="59" t="n"/>
      <c r="W397" s="59" t="n"/>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IF(C398="","",ROW()-2)</f>
        <v/>
      </c>
      <c r="B398" s="825" t="n"/>
      <c r="C398" s="826" t="n"/>
      <c r="D398" s="827" t="n"/>
      <c r="E398" s="828" t="n"/>
      <c r="F398" s="829" t="n"/>
      <c r="G398" s="829" t="n"/>
      <c r="H398" s="830" t="n"/>
      <c r="I398" s="37" t="n"/>
      <c r="J398" s="37" t="n"/>
      <c r="K398" s="35">
        <f>IFERROR(I398+J398,0)</f>
        <v/>
      </c>
      <c r="U398" s="59" t="n"/>
      <c r="V398" s="59" t="n"/>
      <c r="W398" s="59" t="n"/>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IF(C399="","",ROW()-2)</f>
        <v/>
      </c>
      <c r="B399" s="825" t="n"/>
      <c r="C399" s="826" t="n"/>
      <c r="D399" s="827" t="n"/>
      <c r="E399" s="828" t="n"/>
      <c r="F399" s="829" t="n"/>
      <c r="G399" s="829" t="n"/>
      <c r="H399" s="830" t="n"/>
      <c r="I399" s="37" t="n"/>
      <c r="J399" s="37" t="n"/>
      <c r="K399" s="35">
        <f>IFERROR(I399+J399,0)</f>
        <v/>
      </c>
      <c r="U399" s="59" t="n"/>
      <c r="V399" s="59" t="n"/>
      <c r="W399" s="59" t="n"/>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IF(C400="","",ROW()-2)</f>
        <v/>
      </c>
      <c r="B400" s="825" t="n"/>
      <c r="C400" s="826" t="n"/>
      <c r="D400" s="827" t="n"/>
      <c r="E400" s="828" t="n"/>
      <c r="F400" s="829" t="n"/>
      <c r="G400" s="829" t="n"/>
      <c r="H400" s="830" t="n"/>
      <c r="I400" s="37" t="n"/>
      <c r="J400" s="37" t="n"/>
      <c r="K400" s="35">
        <f>IFERROR(I400+J400,0)</f>
        <v/>
      </c>
      <c r="U400" s="59" t="n"/>
      <c r="V400" s="59" t="n"/>
      <c r="W400" s="59" t="n"/>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IF(C401="","",ROW()-2)</f>
        <v/>
      </c>
      <c r="B401" s="825" t="n"/>
      <c r="C401" s="826" t="n"/>
      <c r="D401" s="827" t="n"/>
      <c r="E401" s="828" t="n"/>
      <c r="F401" s="829" t="n"/>
      <c r="G401" s="829" t="n"/>
      <c r="H401" s="830" t="n"/>
      <c r="I401" s="37" t="n"/>
      <c r="J401" s="37" t="n"/>
      <c r="K401" s="35">
        <f>IFERROR(I401+J401,0)</f>
        <v/>
      </c>
      <c r="U401" s="59" t="n"/>
      <c r="V401" s="59" t="n"/>
      <c r="W401" s="59" t="n"/>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IF(C402="","",ROW()-2)</f>
        <v/>
      </c>
      <c r="B402" s="825" t="n"/>
      <c r="C402" s="826" t="n"/>
      <c r="D402" s="827" t="n"/>
      <c r="E402" s="828" t="n"/>
      <c r="F402" s="829" t="n"/>
      <c r="G402" s="829" t="n"/>
      <c r="H402" s="830" t="n"/>
      <c r="I402" s="37" t="n"/>
      <c r="J402" s="37" t="n"/>
      <c r="K402" s="35">
        <f>IFERROR(I402+J402,0)</f>
        <v/>
      </c>
      <c r="U402" s="59" t="n"/>
      <c r="V402" s="59" t="n"/>
      <c r="W402" s="59" t="n"/>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IF(C403="","",ROW()-2)</f>
        <v/>
      </c>
      <c r="B403" s="825" t="n"/>
      <c r="C403" s="826" t="n"/>
      <c r="D403" s="827" t="n"/>
      <c r="E403" s="828" t="n"/>
      <c r="F403" s="829" t="n"/>
      <c r="G403" s="829" t="n"/>
      <c r="H403" s="830" t="n"/>
      <c r="I403" s="37" t="n"/>
      <c r="J403" s="37" t="n"/>
      <c r="K403" s="35">
        <f>IFERROR(I403+J403,0)</f>
        <v/>
      </c>
      <c r="U403" s="59" t="n"/>
      <c r="V403" s="59" t="n"/>
      <c r="W403" s="59" t="n"/>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IF(C404="","",ROW()-2)</f>
        <v/>
      </c>
      <c r="B404" s="825" t="n"/>
      <c r="C404" s="826" t="n"/>
      <c r="D404" s="827" t="n"/>
      <c r="E404" s="828" t="n"/>
      <c r="F404" s="829" t="n"/>
      <c r="G404" s="829" t="n"/>
      <c r="H404" s="830" t="n"/>
      <c r="I404" s="37" t="n"/>
      <c r="J404" s="37" t="n"/>
      <c r="K404" s="35">
        <f>IFERROR(I404+J404,0)</f>
        <v/>
      </c>
      <c r="U404" s="59" t="n"/>
      <c r="V404" s="59" t="n"/>
      <c r="W404" s="59" t="n"/>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IF(C405="","",ROW()-2)</f>
        <v/>
      </c>
      <c r="B405" s="825" t="n"/>
      <c r="C405" s="826" t="n"/>
      <c r="D405" s="827" t="n"/>
      <c r="E405" s="828" t="n"/>
      <c r="F405" s="829" t="n"/>
      <c r="G405" s="829" t="n"/>
      <c r="H405" s="830" t="n"/>
      <c r="I405" s="37" t="n"/>
      <c r="J405" s="37" t="n"/>
      <c r="K405" s="35">
        <f>IFERROR(I405+J405,0)</f>
        <v/>
      </c>
      <c r="U405" s="59" t="n"/>
      <c r="V405" s="59" t="n"/>
      <c r="W405" s="59" t="n"/>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IF(C406="","",ROW()-2)</f>
        <v/>
      </c>
      <c r="B406" s="825" t="n"/>
      <c r="C406" s="826" t="n"/>
      <c r="D406" s="827" t="n"/>
      <c r="E406" s="828" t="n"/>
      <c r="F406" s="829" t="n"/>
      <c r="G406" s="829" t="n"/>
      <c r="H406" s="830" t="n"/>
      <c r="I406" s="37" t="n"/>
      <c r="J406" s="37" t="n"/>
      <c r="K406" s="35">
        <f>IFERROR(I406+J406,0)</f>
        <v/>
      </c>
      <c r="U406" s="59" t="n"/>
      <c r="V406" s="59" t="n"/>
      <c r="W406" s="59" t="n"/>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IF(C407="","",ROW()-2)</f>
        <v/>
      </c>
      <c r="B407" s="825" t="n"/>
      <c r="C407" s="826" t="n"/>
      <c r="D407" s="827" t="n"/>
      <c r="E407" s="828" t="n"/>
      <c r="F407" s="829" t="n"/>
      <c r="G407" s="829" t="n"/>
      <c r="H407" s="830" t="n"/>
      <c r="I407" s="37" t="n"/>
      <c r="J407" s="37" t="n"/>
      <c r="K407" s="35">
        <f>IFERROR(I407+J407,0)</f>
        <v/>
      </c>
      <c r="U407" s="59" t="n"/>
      <c r="V407" s="59" t="n"/>
      <c r="W407" s="59" t="n"/>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IF(C408="","",ROW()-2)</f>
        <v/>
      </c>
      <c r="B408" s="825" t="n"/>
      <c r="C408" s="826" t="n"/>
      <c r="D408" s="827" t="n"/>
      <c r="E408" s="828" t="n"/>
      <c r="F408" s="829" t="n"/>
      <c r="G408" s="829" t="n"/>
      <c r="H408" s="830" t="n"/>
      <c r="I408" s="37" t="n"/>
      <c r="J408" s="37" t="n"/>
      <c r="K408" s="35">
        <f>IFERROR(I408+J408,0)</f>
        <v/>
      </c>
      <c r="U408" s="59" t="n"/>
      <c r="V408" s="59" t="n"/>
      <c r="W408" s="59" t="n"/>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IF(C409="","",ROW()-2)</f>
        <v/>
      </c>
      <c r="B409" s="825" t="n"/>
      <c r="C409" s="826" t="n"/>
      <c r="D409" s="827" t="n"/>
      <c r="E409" s="828" t="n"/>
      <c r="F409" s="829" t="n"/>
      <c r="G409" s="829" t="n"/>
      <c r="H409" s="830" t="n"/>
      <c r="I409" s="37" t="n"/>
      <c r="J409" s="37" t="n"/>
      <c r="K409" s="35">
        <f>IFERROR(I409+J409,0)</f>
        <v/>
      </c>
      <c r="U409" s="59" t="n"/>
      <c r="V409" s="59" t="n"/>
      <c r="W409" s="59" t="n"/>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IF(C410="","",ROW()-2)</f>
        <v/>
      </c>
      <c r="B410" s="825" t="n"/>
      <c r="C410" s="826" t="n"/>
      <c r="D410" s="827" t="n"/>
      <c r="E410" s="828" t="n"/>
      <c r="F410" s="829" t="n"/>
      <c r="G410" s="829" t="n"/>
      <c r="H410" s="830" t="n"/>
      <c r="I410" s="37" t="n"/>
      <c r="J410" s="37" t="n"/>
      <c r="K410" s="35">
        <f>IFERROR(I410+J410,0)</f>
        <v/>
      </c>
      <c r="U410" s="59" t="n"/>
      <c r="V410" s="59" t="n"/>
      <c r="W410" s="59" t="n"/>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IF(C411="","",ROW()-2)</f>
        <v/>
      </c>
      <c r="B411" s="825" t="n"/>
      <c r="C411" s="826" t="n"/>
      <c r="D411" s="827" t="n"/>
      <c r="E411" s="828" t="n"/>
      <c r="F411" s="829" t="n"/>
      <c r="G411" s="829" t="n"/>
      <c r="H411" s="830" t="n"/>
      <c r="I411" s="37" t="n"/>
      <c r="J411" s="37" t="n"/>
      <c r="K411" s="35">
        <f>IFERROR(I411+J411,0)</f>
        <v/>
      </c>
      <c r="U411" s="59" t="n"/>
      <c r="V411" s="59" t="n"/>
      <c r="W411" s="59" t="n"/>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IF(C412="","",ROW()-2)</f>
        <v/>
      </c>
      <c r="B412" s="825" t="n"/>
      <c r="C412" s="826" t="n"/>
      <c r="D412" s="827" t="n"/>
      <c r="E412" s="828" t="n"/>
      <c r="F412" s="829" t="n"/>
      <c r="G412" s="829" t="n"/>
      <c r="H412" s="830" t="n"/>
      <c r="I412" s="37" t="n"/>
      <c r="J412" s="37" t="n"/>
      <c r="K412" s="35">
        <f>IFERROR(I412+J412,0)</f>
        <v/>
      </c>
      <c r="U412" s="59" t="n"/>
      <c r="V412" s="59" t="n"/>
      <c r="W412" s="59" t="n"/>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IF(C413="","",ROW()-2)</f>
        <v/>
      </c>
      <c r="B413" s="825" t="n"/>
      <c r="C413" s="826" t="n"/>
      <c r="D413" s="827" t="n"/>
      <c r="E413" s="828" t="n"/>
      <c r="F413" s="829" t="n"/>
      <c r="G413" s="829" t="n"/>
      <c r="H413" s="830" t="n"/>
      <c r="I413" s="37" t="n"/>
      <c r="J413" s="37" t="n"/>
      <c r="K413" s="35">
        <f>IFERROR(I413+J413,0)</f>
        <v/>
      </c>
      <c r="U413" s="59" t="n"/>
      <c r="V413" s="59" t="n"/>
      <c r="W413" s="59" t="n"/>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IF(C414="","",ROW()-2)</f>
        <v/>
      </c>
      <c r="B414" s="825" t="n"/>
      <c r="C414" s="826" t="n"/>
      <c r="D414" s="827" t="n"/>
      <c r="E414" s="828" t="n"/>
      <c r="F414" s="829" t="n"/>
      <c r="G414" s="829" t="n"/>
      <c r="H414" s="830" t="n"/>
      <c r="I414" s="37" t="n"/>
      <c r="J414" s="37" t="n"/>
      <c r="K414" s="35">
        <f>IFERROR(I414+J414,0)</f>
        <v/>
      </c>
      <c r="U414" s="59" t="n"/>
      <c r="V414" s="59" t="n"/>
      <c r="W414" s="59" t="n"/>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IF(C415="","",ROW()-2)</f>
        <v/>
      </c>
      <c r="B415" s="825" t="n"/>
      <c r="C415" s="826" t="n"/>
      <c r="D415" s="827" t="n"/>
      <c r="E415" s="828" t="n"/>
      <c r="F415" s="829" t="n"/>
      <c r="G415" s="829" t="n"/>
      <c r="H415" s="830" t="n"/>
      <c r="I415" s="37" t="n"/>
      <c r="J415" s="37" t="n"/>
      <c r="K415" s="35">
        <f>IFERROR(I415+J415,0)</f>
        <v/>
      </c>
      <c r="U415" s="59" t="n"/>
      <c r="V415" s="59" t="n"/>
      <c r="W415" s="59" t="n"/>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IF(C416="","",ROW()-2)</f>
        <v/>
      </c>
      <c r="B416" s="825" t="n"/>
      <c r="C416" s="826" t="n"/>
      <c r="D416" s="827" t="n"/>
      <c r="E416" s="828" t="n"/>
      <c r="F416" s="829" t="n"/>
      <c r="G416" s="829" t="n"/>
      <c r="H416" s="830" t="n"/>
      <c r="I416" s="37" t="n"/>
      <c r="J416" s="37" t="n"/>
      <c r="K416" s="35">
        <f>IFERROR(I416+J416,0)</f>
        <v/>
      </c>
      <c r="U416" s="59" t="n"/>
      <c r="V416" s="59" t="n"/>
      <c r="W416" s="59" t="n"/>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IF(C417="","",ROW()-2)</f>
        <v/>
      </c>
      <c r="B417" s="825" t="n"/>
      <c r="C417" s="826" t="n"/>
      <c r="D417" s="827" t="n"/>
      <c r="E417" s="828" t="n"/>
      <c r="F417" s="829" t="n"/>
      <c r="G417" s="829" t="n"/>
      <c r="H417" s="830" t="n"/>
      <c r="I417" s="37" t="n"/>
      <c r="J417" s="37" t="n"/>
      <c r="K417" s="35">
        <f>IFERROR(I417+J417,0)</f>
        <v/>
      </c>
      <c r="U417" s="59" t="n"/>
      <c r="V417" s="59" t="n"/>
      <c r="W417" s="59" t="n"/>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IF(C418="","",ROW()-2)</f>
        <v/>
      </c>
      <c r="B418" s="825" t="n"/>
      <c r="C418" s="826" t="n"/>
      <c r="D418" s="827" t="n"/>
      <c r="E418" s="828" t="n"/>
      <c r="F418" s="829" t="n"/>
      <c r="G418" s="829" t="n"/>
      <c r="H418" s="830" t="n"/>
      <c r="I418" s="37" t="n"/>
      <c r="J418" s="37" t="n"/>
      <c r="K418" s="35">
        <f>IFERROR(I418+J418,0)</f>
        <v/>
      </c>
      <c r="U418" s="59" t="n"/>
      <c r="V418" s="59" t="n"/>
      <c r="W418" s="59" t="n"/>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IF(C419="","",ROW()-2)</f>
        <v/>
      </c>
      <c r="B419" s="825" t="n"/>
      <c r="C419" s="826" t="n"/>
      <c r="D419" s="827" t="n"/>
      <c r="E419" s="828" t="n"/>
      <c r="F419" s="829" t="n"/>
      <c r="G419" s="829" t="n"/>
      <c r="H419" s="830" t="n"/>
      <c r="I419" s="37" t="n"/>
      <c r="J419" s="37" t="n"/>
      <c r="K419" s="35">
        <f>IFERROR(I419+J419,0)</f>
        <v/>
      </c>
      <c r="U419" s="59" t="n"/>
      <c r="V419" s="59" t="n"/>
      <c r="W419" s="59" t="n"/>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IF(C420="","",ROW()-2)</f>
        <v/>
      </c>
      <c r="B420" s="825" t="n"/>
      <c r="C420" s="826" t="n"/>
      <c r="D420" s="827" t="n"/>
      <c r="E420" s="828" t="n"/>
      <c r="F420" s="829" t="n"/>
      <c r="G420" s="829" t="n"/>
      <c r="H420" s="830" t="n"/>
      <c r="I420" s="37" t="n"/>
      <c r="J420" s="37" t="n"/>
      <c r="K420" s="35">
        <f>IFERROR(I420+J420,0)</f>
        <v/>
      </c>
      <c r="U420" s="59" t="n"/>
      <c r="V420" s="59" t="n"/>
      <c r="W420" s="59" t="n"/>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IF(C421="","",ROW()-2)</f>
        <v/>
      </c>
      <c r="B421" s="825" t="n"/>
      <c r="C421" s="826" t="n"/>
      <c r="D421" s="827" t="n"/>
      <c r="E421" s="828" t="n"/>
      <c r="F421" s="829" t="n"/>
      <c r="G421" s="829" t="n"/>
      <c r="H421" s="830" t="n"/>
      <c r="I421" s="37" t="n"/>
      <c r="J421" s="37" t="n"/>
      <c r="K421" s="35">
        <f>IFERROR(I421+J421,0)</f>
        <v/>
      </c>
      <c r="U421" s="59" t="n"/>
      <c r="V421" s="59" t="n"/>
      <c r="W421" s="59" t="n"/>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IF(C422="","",ROW()-2)</f>
        <v/>
      </c>
      <c r="B422" s="825" t="n"/>
      <c r="C422" s="826" t="n"/>
      <c r="D422" s="827" t="n"/>
      <c r="E422" s="828" t="n"/>
      <c r="F422" s="829" t="n"/>
      <c r="G422" s="829" t="n"/>
      <c r="H422" s="830" t="n"/>
      <c r="I422" s="37" t="n"/>
      <c r="J422" s="37" t="n"/>
      <c r="K422" s="35">
        <f>IFERROR(I422+J422,0)</f>
        <v/>
      </c>
      <c r="U422" s="59" t="n"/>
      <c r="V422" s="59" t="n"/>
      <c r="W422" s="59" t="n"/>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IF(C423="","",ROW()-2)</f>
        <v/>
      </c>
      <c r="B423" s="825" t="n"/>
      <c r="C423" s="826" t="n"/>
      <c r="D423" s="827" t="n"/>
      <c r="E423" s="828" t="n"/>
      <c r="F423" s="829" t="n"/>
      <c r="G423" s="829" t="n"/>
      <c r="H423" s="830" t="n"/>
      <c r="I423" s="37" t="n"/>
      <c r="J423" s="37" t="n"/>
      <c r="K423" s="35">
        <f>IFERROR(I423+J423,0)</f>
        <v/>
      </c>
      <c r="U423" s="59" t="n"/>
      <c r="V423" s="59" t="n"/>
      <c r="W423" s="59" t="n"/>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IF(C424="","",ROW()-2)</f>
        <v/>
      </c>
      <c r="B424" s="825" t="n"/>
      <c r="C424" s="826" t="n"/>
      <c r="D424" s="827" t="n"/>
      <c r="E424" s="828" t="n"/>
      <c r="F424" s="829" t="n"/>
      <c r="G424" s="829" t="n"/>
      <c r="H424" s="830" t="n"/>
      <c r="I424" s="37" t="n"/>
      <c r="J424" s="37" t="n"/>
      <c r="K424" s="35">
        <f>IFERROR(I424+J424,0)</f>
        <v/>
      </c>
      <c r="U424" s="59" t="n"/>
      <c r="V424" s="59" t="n"/>
      <c r="W424" s="59" t="n"/>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IF(C425="","",ROW()-2)</f>
        <v/>
      </c>
      <c r="B425" s="825" t="n"/>
      <c r="C425" s="826" t="n"/>
      <c r="D425" s="827" t="n"/>
      <c r="E425" s="828" t="n"/>
      <c r="F425" s="829" t="n"/>
      <c r="G425" s="829" t="n"/>
      <c r="H425" s="830" t="n"/>
      <c r="I425" s="37" t="n"/>
      <c r="J425" s="37" t="n"/>
      <c r="K425" s="35">
        <f>IFERROR(I425+J425,0)</f>
        <v/>
      </c>
      <c r="U425" s="59" t="n"/>
      <c r="V425" s="59" t="n"/>
      <c r="W425" s="59" t="n"/>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IF(C426="","",ROW()-2)</f>
        <v/>
      </c>
      <c r="B426" s="825" t="n"/>
      <c r="C426" s="826" t="n"/>
      <c r="D426" s="827" t="n"/>
      <c r="E426" s="828" t="n"/>
      <c r="F426" s="829" t="n"/>
      <c r="G426" s="829" t="n"/>
      <c r="H426" s="830" t="n"/>
      <c r="I426" s="37" t="n"/>
      <c r="J426" s="37" t="n"/>
      <c r="K426" s="35">
        <f>IFERROR(I426+J426,0)</f>
        <v/>
      </c>
      <c r="U426" s="59" t="n"/>
      <c r="V426" s="59" t="n"/>
      <c r="W426" s="59" t="n"/>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IF(C427="","",ROW()-2)</f>
        <v/>
      </c>
      <c r="B427" s="825" t="n"/>
      <c r="C427" s="826" t="n"/>
      <c r="D427" s="827" t="n"/>
      <c r="E427" s="828" t="n"/>
      <c r="F427" s="829" t="n"/>
      <c r="G427" s="829" t="n"/>
      <c r="H427" s="830" t="n"/>
      <c r="I427" s="37" t="n"/>
      <c r="J427" s="37" t="n"/>
      <c r="K427" s="35">
        <f>IFERROR(I427+J427,0)</f>
        <v/>
      </c>
      <c r="U427" s="59" t="n"/>
      <c r="V427" s="59" t="n"/>
      <c r="W427" s="59" t="n"/>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IF(C428="","",ROW()-2)</f>
        <v/>
      </c>
      <c r="B428" s="825" t="n"/>
      <c r="C428" s="826" t="n"/>
      <c r="D428" s="827" t="n"/>
      <c r="E428" s="828" t="n"/>
      <c r="F428" s="829" t="n"/>
      <c r="G428" s="829" t="n"/>
      <c r="H428" s="830" t="n"/>
      <c r="I428" s="37" t="n"/>
      <c r="J428" s="37" t="n"/>
      <c r="K428" s="35">
        <f>IFERROR(I428+J428,0)</f>
        <v/>
      </c>
      <c r="U428" s="59" t="n"/>
      <c r="V428" s="59" t="n"/>
      <c r="W428" s="59" t="n"/>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IF(C429="","",ROW()-2)</f>
        <v/>
      </c>
      <c r="B429" s="825" t="n"/>
      <c r="C429" s="826" t="n"/>
      <c r="D429" s="827" t="n"/>
      <c r="E429" s="828" t="n"/>
      <c r="F429" s="829" t="n"/>
      <c r="G429" s="829" t="n"/>
      <c r="H429" s="830" t="n"/>
      <c r="I429" s="37" t="n"/>
      <c r="J429" s="37" t="n"/>
      <c r="K429" s="35">
        <f>IFERROR(I429+J429,0)</f>
        <v/>
      </c>
      <c r="U429" s="59" t="n"/>
      <c r="V429" s="59" t="n"/>
      <c r="W429" s="59" t="n"/>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IF(C430="","",ROW()-2)</f>
        <v/>
      </c>
      <c r="B430" s="825" t="n"/>
      <c r="C430" s="826" t="n"/>
      <c r="D430" s="827" t="n"/>
      <c r="E430" s="828" t="n"/>
      <c r="F430" s="829" t="n"/>
      <c r="G430" s="829" t="n"/>
      <c r="H430" s="830" t="n"/>
      <c r="I430" s="37" t="n"/>
      <c r="J430" s="37" t="n"/>
      <c r="K430" s="35">
        <f>IFERROR(I430+J430,0)</f>
        <v/>
      </c>
      <c r="U430" s="59" t="n"/>
      <c r="V430" s="59" t="n"/>
      <c r="W430" s="59" t="n"/>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IF(C431="","",ROW()-2)</f>
        <v/>
      </c>
      <c r="B431" s="825" t="n"/>
      <c r="C431" s="826" t="n"/>
      <c r="D431" s="827" t="n"/>
      <c r="E431" s="828" t="n"/>
      <c r="F431" s="829" t="n"/>
      <c r="G431" s="829" t="n"/>
      <c r="H431" s="830" t="n"/>
      <c r="I431" s="37" t="n"/>
      <c r="J431" s="37" t="n"/>
      <c r="K431" s="35">
        <f>IFERROR(I431+J431,0)</f>
        <v/>
      </c>
      <c r="U431" s="59" t="n"/>
      <c r="V431" s="59" t="n"/>
      <c r="W431" s="59" t="n"/>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IF(C432="","",ROW()-2)</f>
        <v/>
      </c>
      <c r="B432" s="825" t="n"/>
      <c r="C432" s="826" t="n"/>
      <c r="D432" s="827" t="n"/>
      <c r="E432" s="828" t="n"/>
      <c r="F432" s="829" t="n"/>
      <c r="G432" s="829" t="n"/>
      <c r="H432" s="830" t="n"/>
      <c r="I432" s="37" t="n"/>
      <c r="J432" s="37" t="n"/>
      <c r="K432" s="35">
        <f>IFERROR(I432+J432,0)</f>
        <v/>
      </c>
      <c r="U432" s="59" t="n"/>
      <c r="V432" s="59" t="n"/>
      <c r="W432" s="59" t="n"/>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IF(C433="","",ROW()-2)</f>
        <v/>
      </c>
      <c r="B433" s="825" t="n"/>
      <c r="C433" s="826" t="n"/>
      <c r="D433" s="827" t="n"/>
      <c r="E433" s="828" t="n"/>
      <c r="F433" s="829" t="n"/>
      <c r="G433" s="829" t="n"/>
      <c r="H433" s="830" t="n"/>
      <c r="I433" s="37" t="n"/>
      <c r="J433" s="37" t="n"/>
      <c r="K433" s="35">
        <f>IFERROR(I433+J433,0)</f>
        <v/>
      </c>
      <c r="U433" s="59" t="n"/>
      <c r="V433" s="59" t="n"/>
      <c r="W433" s="59" t="n"/>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IF(C434="","",ROW()-2)</f>
        <v/>
      </c>
      <c r="B434" s="825" t="n"/>
      <c r="C434" s="826" t="n"/>
      <c r="D434" s="827" t="n"/>
      <c r="E434" s="828" t="n"/>
      <c r="F434" s="829" t="n"/>
      <c r="G434" s="829" t="n"/>
      <c r="H434" s="830" t="n"/>
      <c r="I434" s="37" t="n"/>
      <c r="J434" s="37" t="n"/>
      <c r="K434" s="35">
        <f>IFERROR(I434+J434,0)</f>
        <v/>
      </c>
      <c r="U434" s="59" t="n"/>
      <c r="V434" s="59" t="n"/>
      <c r="W434" s="59" t="n"/>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IF(C435="","",ROW()-2)</f>
        <v/>
      </c>
      <c r="B435" s="825" t="n"/>
      <c r="C435" s="826" t="n"/>
      <c r="D435" s="827" t="n"/>
      <c r="E435" s="828" t="n"/>
      <c r="F435" s="829" t="n"/>
      <c r="G435" s="829" t="n"/>
      <c r="H435" s="830" t="n"/>
      <c r="I435" s="37" t="n"/>
      <c r="J435" s="37" t="n"/>
      <c r="K435" s="35">
        <f>IFERROR(I435+J435,0)</f>
        <v/>
      </c>
      <c r="U435" s="59" t="n"/>
      <c r="V435" s="59" t="n"/>
      <c r="W435" s="59" t="n"/>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IF(C436="","",ROW()-2)</f>
        <v/>
      </c>
      <c r="B436" s="825" t="n"/>
      <c r="C436" s="826" t="n"/>
      <c r="D436" s="827" t="n"/>
      <c r="E436" s="828" t="n"/>
      <c r="F436" s="829" t="n"/>
      <c r="G436" s="829" t="n"/>
      <c r="H436" s="830" t="n"/>
      <c r="I436" s="37" t="n"/>
      <c r="J436" s="37" t="n"/>
      <c r="K436" s="35">
        <f>IFERROR(I436+J436,0)</f>
        <v/>
      </c>
      <c r="U436" s="59" t="n"/>
      <c r="V436" s="59" t="n"/>
      <c r="W436" s="59" t="n"/>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IF(C437="","",ROW()-2)</f>
        <v/>
      </c>
      <c r="B437" s="825" t="n"/>
      <c r="C437" s="826" t="n"/>
      <c r="D437" s="827" t="n"/>
      <c r="E437" s="828" t="n"/>
      <c r="F437" s="829" t="n"/>
      <c r="G437" s="829" t="n"/>
      <c r="H437" s="830" t="n"/>
      <c r="I437" s="37" t="n"/>
      <c r="J437" s="37" t="n"/>
      <c r="K437" s="35">
        <f>IFERROR(I437+J437,0)</f>
        <v/>
      </c>
      <c r="U437" s="59" t="n"/>
      <c r="V437" s="59" t="n"/>
      <c r="W437" s="59" t="n"/>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IF(C438="","",ROW()-2)</f>
        <v/>
      </c>
      <c r="B438" s="825" t="n"/>
      <c r="C438" s="826" t="n"/>
      <c r="D438" s="827" t="n"/>
      <c r="E438" s="828" t="n"/>
      <c r="F438" s="829" t="n"/>
      <c r="G438" s="829" t="n"/>
      <c r="H438" s="830" t="n"/>
      <c r="I438" s="37" t="n"/>
      <c r="J438" s="37" t="n"/>
      <c r="K438" s="35">
        <f>IFERROR(I438+J438,0)</f>
        <v/>
      </c>
      <c r="U438" s="59" t="n"/>
      <c r="V438" s="59" t="n"/>
      <c r="W438" s="59" t="n"/>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IF(C439="","",ROW()-2)</f>
        <v/>
      </c>
      <c r="B439" s="825" t="n"/>
      <c r="C439" s="826" t="n"/>
      <c r="D439" s="827" t="n"/>
      <c r="E439" s="828" t="n"/>
      <c r="F439" s="829" t="n"/>
      <c r="G439" s="829" t="n"/>
      <c r="H439" s="830" t="n"/>
      <c r="I439" s="37" t="n"/>
      <c r="J439" s="37" t="n"/>
      <c r="K439" s="35">
        <f>IFERROR(I439+J439,0)</f>
        <v/>
      </c>
      <c r="U439" s="59" t="n"/>
      <c r="V439" s="59" t="n"/>
      <c r="W439" s="59" t="n"/>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IF(C440="","",ROW()-2)</f>
        <v/>
      </c>
      <c r="B440" s="825" t="n"/>
      <c r="C440" s="826" t="n"/>
      <c r="D440" s="827" t="n"/>
      <c r="E440" s="828" t="n"/>
      <c r="F440" s="829" t="n"/>
      <c r="G440" s="829" t="n"/>
      <c r="H440" s="830" t="n"/>
      <c r="I440" s="37" t="n"/>
      <c r="J440" s="37" t="n"/>
      <c r="K440" s="35">
        <f>IFERROR(I440+J440,0)</f>
        <v/>
      </c>
      <c r="U440" s="59" t="n"/>
      <c r="V440" s="59" t="n"/>
      <c r="W440" s="59" t="n"/>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IF(C441="","",ROW()-2)</f>
        <v/>
      </c>
      <c r="B441" s="825" t="n"/>
      <c r="C441" s="826" t="n"/>
      <c r="D441" s="827" t="n"/>
      <c r="E441" s="828" t="n"/>
      <c r="F441" s="829" t="n"/>
      <c r="G441" s="829" t="n"/>
      <c r="H441" s="830" t="n"/>
      <c r="I441" s="37" t="n"/>
      <c r="J441" s="37" t="n"/>
      <c r="K441" s="35">
        <f>IFERROR(I441+J441,0)</f>
        <v/>
      </c>
      <c r="U441" s="59" t="n"/>
      <c r="V441" s="59" t="n"/>
      <c r="W441" s="59" t="n"/>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IF(C442="","",ROW()-2)</f>
        <v/>
      </c>
      <c r="B442" s="825" t="n"/>
      <c r="C442" s="826" t="n"/>
      <c r="D442" s="827" t="n"/>
      <c r="E442" s="828" t="n"/>
      <c r="F442" s="829" t="n"/>
      <c r="G442" s="829" t="n"/>
      <c r="H442" s="830" t="n"/>
      <c r="I442" s="37" t="n"/>
      <c r="J442" s="37" t="n"/>
      <c r="K442" s="35">
        <f>IFERROR(I442+J442,0)</f>
        <v/>
      </c>
      <c r="U442" s="59" t="n"/>
      <c r="V442" s="59" t="n"/>
      <c r="W442" s="59" t="n"/>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IF(C443="","",ROW()-2)</f>
        <v/>
      </c>
      <c r="B443" s="825" t="n"/>
      <c r="C443" s="826" t="n"/>
      <c r="D443" s="827" t="n"/>
      <c r="E443" s="828" t="n"/>
      <c r="F443" s="829" t="n"/>
      <c r="G443" s="829" t="n"/>
      <c r="H443" s="830" t="n"/>
      <c r="I443" s="37" t="n"/>
      <c r="J443" s="37" t="n"/>
      <c r="K443" s="35">
        <f>IFERROR(I443+J443,0)</f>
        <v/>
      </c>
      <c r="U443" s="59" t="n"/>
      <c r="V443" s="59" t="n"/>
      <c r="W443" s="59" t="n"/>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IF(C444="","",ROW()-2)</f>
        <v/>
      </c>
      <c r="B444" s="825" t="n"/>
      <c r="C444" s="826" t="n"/>
      <c r="D444" s="827" t="n"/>
      <c r="E444" s="828" t="n"/>
      <c r="F444" s="829" t="n"/>
      <c r="G444" s="829" t="n"/>
      <c r="H444" s="830" t="n"/>
      <c r="I444" s="37" t="n"/>
      <c r="J444" s="37" t="n"/>
      <c r="K444" s="35">
        <f>IFERROR(I444+J444,0)</f>
        <v/>
      </c>
      <c r="U444" s="59" t="n"/>
      <c r="V444" s="59" t="n"/>
      <c r="W444" s="59" t="n"/>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IF(C445="","",ROW()-2)</f>
        <v/>
      </c>
      <c r="B445" s="825" t="n"/>
      <c r="C445" s="826" t="n"/>
      <c r="D445" s="827" t="n"/>
      <c r="E445" s="828" t="n"/>
      <c r="F445" s="829" t="n"/>
      <c r="G445" s="829" t="n"/>
      <c r="H445" s="830" t="n"/>
      <c r="I445" s="37" t="n"/>
      <c r="J445" s="37" t="n"/>
      <c r="K445" s="35">
        <f>IFERROR(I445+J445,0)</f>
        <v/>
      </c>
      <c r="U445" s="59" t="n"/>
      <c r="V445" s="59" t="n"/>
      <c r="W445" s="59" t="n"/>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IF(C446="","",ROW()-2)</f>
        <v/>
      </c>
      <c r="B446" s="825" t="n"/>
      <c r="C446" s="826" t="n"/>
      <c r="D446" s="827" t="n"/>
      <c r="E446" s="828" t="n"/>
      <c r="F446" s="829" t="n"/>
      <c r="G446" s="829" t="n"/>
      <c r="H446" s="830" t="n"/>
      <c r="I446" s="37" t="n"/>
      <c r="J446" s="37" t="n"/>
      <c r="K446" s="35">
        <f>IFERROR(I446+J446,0)</f>
        <v/>
      </c>
      <c r="U446" s="59" t="n"/>
      <c r="V446" s="59" t="n"/>
      <c r="W446" s="59" t="n"/>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IF(C447="","",ROW()-2)</f>
        <v/>
      </c>
      <c r="B447" s="825" t="n"/>
      <c r="C447" s="826" t="n"/>
      <c r="D447" s="827" t="n"/>
      <c r="E447" s="828" t="n"/>
      <c r="F447" s="829" t="n"/>
      <c r="G447" s="829" t="n"/>
      <c r="H447" s="830" t="n"/>
      <c r="I447" s="37" t="n"/>
      <c r="J447" s="37" t="n"/>
      <c r="K447" s="35">
        <f>IFERROR(I447+J447,0)</f>
        <v/>
      </c>
      <c r="U447" s="59" t="n"/>
      <c r="V447" s="59" t="n"/>
      <c r="W447" s="59" t="n"/>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IF(C448="","",ROW()-2)</f>
        <v/>
      </c>
      <c r="B448" s="825" t="n"/>
      <c r="C448" s="826" t="n"/>
      <c r="D448" s="827" t="n"/>
      <c r="E448" s="828" t="n"/>
      <c r="F448" s="829" t="n"/>
      <c r="G448" s="829" t="n"/>
      <c r="H448" s="830" t="n"/>
      <c r="I448" s="37" t="n"/>
      <c r="J448" s="37" t="n"/>
      <c r="K448" s="35">
        <f>IFERROR(I448+J448,0)</f>
        <v/>
      </c>
      <c r="U448" s="59" t="n"/>
      <c r="V448" s="59" t="n"/>
      <c r="W448" s="59" t="n"/>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IF(C449="","",ROW()-2)</f>
        <v/>
      </c>
      <c r="B449" s="825" t="n"/>
      <c r="C449" s="826" t="n"/>
      <c r="D449" s="827" t="n"/>
      <c r="E449" s="828" t="n"/>
      <c r="F449" s="829" t="n"/>
      <c r="G449" s="829" t="n"/>
      <c r="H449" s="830" t="n"/>
      <c r="I449" s="37" t="n"/>
      <c r="J449" s="37" t="n"/>
      <c r="K449" s="35">
        <f>IFERROR(I449+J449,0)</f>
        <v/>
      </c>
      <c r="U449" s="59" t="n"/>
      <c r="V449" s="59" t="n"/>
      <c r="W449" s="59" t="n"/>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IF(C450="","",ROW()-2)</f>
        <v/>
      </c>
      <c r="B450" s="825" t="n"/>
      <c r="C450" s="826" t="n"/>
      <c r="D450" s="827" t="n"/>
      <c r="E450" s="828" t="n"/>
      <c r="F450" s="829" t="n"/>
      <c r="G450" s="829" t="n"/>
      <c r="H450" s="830" t="n"/>
      <c r="I450" s="37" t="n"/>
      <c r="J450" s="37" t="n"/>
      <c r="K450" s="35">
        <f>IFERROR(I450+J450,0)</f>
        <v/>
      </c>
      <c r="U450" s="59" t="n"/>
      <c r="V450" s="59" t="n"/>
      <c r="W450" s="59" t="n"/>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IF(C451="","",ROW()-2)</f>
        <v/>
      </c>
      <c r="B451" s="825" t="n"/>
      <c r="C451" s="826" t="n"/>
      <c r="D451" s="827" t="n"/>
      <c r="E451" s="828" t="n"/>
      <c r="F451" s="829" t="n"/>
      <c r="G451" s="829" t="n"/>
      <c r="H451" s="830" t="n"/>
      <c r="I451" s="37" t="n"/>
      <c r="J451" s="37" t="n"/>
      <c r="K451" s="35">
        <f>IFERROR(I451+J451,0)</f>
        <v/>
      </c>
      <c r="U451" s="59" t="n"/>
      <c r="V451" s="59" t="n"/>
      <c r="W451" s="59" t="n"/>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IF(C452="","",ROW()-2)</f>
        <v/>
      </c>
      <c r="B452" s="825" t="n"/>
      <c r="C452" s="826" t="n"/>
      <c r="D452" s="827" t="n"/>
      <c r="E452" s="828" t="n"/>
      <c r="F452" s="829" t="n"/>
      <c r="G452" s="829" t="n"/>
      <c r="H452" s="830" t="n"/>
      <c r="I452" s="37" t="n"/>
      <c r="J452" s="37" t="n"/>
      <c r="K452" s="35">
        <f>IFERROR(I452+J452,0)</f>
        <v/>
      </c>
      <c r="U452" s="59" t="n"/>
      <c r="V452" s="59" t="n"/>
      <c r="W452" s="59" t="n"/>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IF(C453="","",ROW()-2)</f>
        <v/>
      </c>
      <c r="B453" s="825" t="n"/>
      <c r="C453" s="826" t="n"/>
      <c r="D453" s="827" t="n"/>
      <c r="E453" s="828" t="n"/>
      <c r="F453" s="829" t="n"/>
      <c r="G453" s="829" t="n"/>
      <c r="H453" s="830" t="n"/>
      <c r="I453" s="37" t="n"/>
      <c r="J453" s="37" t="n"/>
      <c r="K453" s="35">
        <f>IFERROR(I453+J453,0)</f>
        <v/>
      </c>
      <c r="U453" s="59" t="n"/>
      <c r="V453" s="59" t="n"/>
      <c r="W453" s="59" t="n"/>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IF(C454="","",ROW()-2)</f>
        <v/>
      </c>
      <c r="B454" s="825" t="n"/>
      <c r="C454" s="826" t="n"/>
      <c r="D454" s="827" t="n"/>
      <c r="E454" s="828" t="n"/>
      <c r="F454" s="829" t="n"/>
      <c r="G454" s="829" t="n"/>
      <c r="H454" s="830" t="n"/>
      <c r="I454" s="37" t="n"/>
      <c r="J454" s="37" t="n"/>
      <c r="K454" s="35">
        <f>IFERROR(I454+J454,0)</f>
        <v/>
      </c>
      <c r="U454" s="59" t="n"/>
      <c r="V454" s="59" t="n"/>
      <c r="W454" s="59" t="n"/>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IF(C455="","",ROW()-2)</f>
        <v/>
      </c>
      <c r="B455" s="825" t="n"/>
      <c r="C455" s="826" t="n"/>
      <c r="D455" s="827" t="n"/>
      <c r="E455" s="828" t="n"/>
      <c r="F455" s="829" t="n"/>
      <c r="G455" s="829" t="n"/>
      <c r="H455" s="830" t="n"/>
      <c r="I455" s="37" t="n"/>
      <c r="J455" s="37" t="n"/>
      <c r="K455" s="35">
        <f>IFERROR(I455+J455,0)</f>
        <v/>
      </c>
      <c r="U455" s="59" t="n"/>
      <c r="V455" s="59" t="n"/>
      <c r="W455" s="59" t="n"/>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IF(C456="","",ROW()-2)</f>
        <v/>
      </c>
      <c r="B456" s="825" t="n"/>
      <c r="C456" s="826" t="n"/>
      <c r="D456" s="827" t="n"/>
      <c r="E456" s="828" t="n"/>
      <c r="F456" s="829" t="n"/>
      <c r="G456" s="829" t="n"/>
      <c r="H456" s="830" t="n"/>
      <c r="I456" s="37" t="n"/>
      <c r="J456" s="37" t="n"/>
      <c r="K456" s="35">
        <f>IFERROR(I456+J456,0)</f>
        <v/>
      </c>
      <c r="U456" s="59" t="n"/>
      <c r="V456" s="59" t="n"/>
      <c r="W456" s="59" t="n"/>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IF(C457="","",ROW()-2)</f>
        <v/>
      </c>
      <c r="B457" s="825" t="n"/>
      <c r="C457" s="826" t="n"/>
      <c r="D457" s="827" t="n"/>
      <c r="E457" s="828" t="n"/>
      <c r="F457" s="829" t="n"/>
      <c r="G457" s="829" t="n"/>
      <c r="H457" s="830" t="n"/>
      <c r="I457" s="37" t="n"/>
      <c r="J457" s="37" t="n"/>
      <c r="K457" s="35">
        <f>IFERROR(I457+J457,0)</f>
        <v/>
      </c>
      <c r="U457" s="59" t="n"/>
      <c r="V457" s="59" t="n"/>
      <c r="W457" s="59" t="n"/>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IF(C458="","",ROW()-2)</f>
        <v/>
      </c>
      <c r="B458" s="825" t="n"/>
      <c r="C458" s="826" t="n"/>
      <c r="D458" s="827" t="n"/>
      <c r="E458" s="828" t="n"/>
      <c r="F458" s="829" t="n"/>
      <c r="G458" s="829" t="n"/>
      <c r="H458" s="830" t="n"/>
      <c r="I458" s="37" t="n"/>
      <c r="J458" s="37" t="n"/>
      <c r="K458" s="35">
        <f>IFERROR(I458+J458,0)</f>
        <v/>
      </c>
      <c r="U458" s="59" t="n"/>
      <c r="V458" s="59" t="n"/>
      <c r="W458" s="59" t="n"/>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IF(C459="","",ROW()-2)</f>
        <v/>
      </c>
      <c r="B459" s="825" t="n"/>
      <c r="C459" s="826" t="n"/>
      <c r="D459" s="827" t="n"/>
      <c r="E459" s="828" t="n"/>
      <c r="F459" s="829" t="n"/>
      <c r="G459" s="829" t="n"/>
      <c r="H459" s="830" t="n"/>
      <c r="I459" s="37" t="n"/>
      <c r="J459" s="37" t="n"/>
      <c r="K459" s="35">
        <f>IFERROR(I459+J459,0)</f>
        <v/>
      </c>
      <c r="U459" s="59" t="n"/>
      <c r="V459" s="59" t="n"/>
      <c r="W459" s="59" t="n"/>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IF(C460="","",ROW()-2)</f>
        <v/>
      </c>
      <c r="B460" s="825" t="n"/>
      <c r="C460" s="826" t="n"/>
      <c r="D460" s="827" t="n"/>
      <c r="E460" s="828" t="n"/>
      <c r="F460" s="829" t="n"/>
      <c r="G460" s="829" t="n"/>
      <c r="H460" s="830" t="n"/>
      <c r="I460" s="37" t="n"/>
      <c r="J460" s="37" t="n"/>
      <c r="K460" s="35">
        <f>IFERROR(I460+J460,0)</f>
        <v/>
      </c>
      <c r="U460" s="59" t="n"/>
      <c r="V460" s="59" t="n"/>
      <c r="W460" s="59" t="n"/>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IF(C461="","",ROW()-2)</f>
        <v/>
      </c>
      <c r="B461" s="825" t="n"/>
      <c r="C461" s="826" t="n"/>
      <c r="D461" s="827" t="n"/>
      <c r="E461" s="828" t="n"/>
      <c r="F461" s="829" t="n"/>
      <c r="G461" s="829" t="n"/>
      <c r="H461" s="830" t="n"/>
      <c r="I461" s="37" t="n"/>
      <c r="J461" s="37" t="n"/>
      <c r="K461" s="35">
        <f>IFERROR(I461+J461,0)</f>
        <v/>
      </c>
      <c r="U461" s="59" t="n"/>
      <c r="V461" s="59" t="n"/>
      <c r="W461" s="59" t="n"/>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IF(C462="","",ROW()-2)</f>
        <v/>
      </c>
      <c r="B462" s="825" t="n"/>
      <c r="C462" s="826" t="n"/>
      <c r="D462" s="827" t="n"/>
      <c r="E462" s="828" t="n"/>
      <c r="F462" s="829" t="n"/>
      <c r="G462" s="829" t="n"/>
      <c r="H462" s="830" t="n"/>
      <c r="I462" s="37" t="n"/>
      <c r="J462" s="37" t="n"/>
      <c r="K462" s="35">
        <f>IFERROR(I462+J462,0)</f>
        <v/>
      </c>
      <c r="U462" s="59" t="n"/>
      <c r="V462" s="59" t="n"/>
      <c r="W462" s="59" t="n"/>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IF(C463="","",ROW()-2)</f>
        <v/>
      </c>
      <c r="B463" s="825" t="n"/>
      <c r="C463" s="826" t="n"/>
      <c r="D463" s="827" t="n"/>
      <c r="E463" s="828" t="n"/>
      <c r="F463" s="829" t="n"/>
      <c r="G463" s="829" t="n"/>
      <c r="H463" s="830" t="n"/>
      <c r="I463" s="37" t="n"/>
      <c r="J463" s="37" t="n"/>
      <c r="K463" s="35">
        <f>IFERROR(I463+J463,0)</f>
        <v/>
      </c>
      <c r="U463" s="59" t="n"/>
      <c r="V463" s="59" t="n"/>
      <c r="W463" s="59" t="n"/>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IF(C464="","",ROW()-2)</f>
        <v/>
      </c>
      <c r="B464" s="825" t="n"/>
      <c r="C464" s="826" t="n"/>
      <c r="D464" s="827" t="n"/>
      <c r="E464" s="828" t="n"/>
      <c r="F464" s="829" t="n"/>
      <c r="G464" s="829" t="n"/>
      <c r="H464" s="830" t="n"/>
      <c r="I464" s="37" t="n"/>
      <c r="J464" s="37" t="n"/>
      <c r="K464" s="35">
        <f>IFERROR(I464+J464,0)</f>
        <v/>
      </c>
      <c r="U464" s="59" t="n"/>
      <c r="V464" s="59" t="n"/>
      <c r="W464" s="59" t="n"/>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IF(C465="","",ROW()-2)</f>
        <v/>
      </c>
      <c r="B465" s="825" t="n"/>
      <c r="C465" s="826" t="n"/>
      <c r="D465" s="827" t="n"/>
      <c r="E465" s="828" t="n"/>
      <c r="F465" s="829" t="n"/>
      <c r="G465" s="829" t="n"/>
      <c r="H465" s="830" t="n"/>
      <c r="I465" s="37" t="n"/>
      <c r="J465" s="37" t="n"/>
      <c r="K465" s="35">
        <f>IFERROR(I465+J465,0)</f>
        <v/>
      </c>
      <c r="U465" s="59" t="n"/>
      <c r="V465" s="59" t="n"/>
      <c r="W465" s="59" t="n"/>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IF(C466="","",ROW()-2)</f>
        <v/>
      </c>
      <c r="B466" s="825" t="n"/>
      <c r="C466" s="826" t="n"/>
      <c r="D466" s="827" t="n"/>
      <c r="E466" s="828" t="n"/>
      <c r="F466" s="829" t="n"/>
      <c r="G466" s="829" t="n"/>
      <c r="H466" s="830" t="n"/>
      <c r="I466" s="37" t="n"/>
      <c r="J466" s="37" t="n"/>
      <c r="K466" s="35">
        <f>IFERROR(I466+J466,0)</f>
        <v/>
      </c>
      <c r="U466" s="59" t="n"/>
      <c r="V466" s="59" t="n"/>
      <c r="W466" s="59" t="n"/>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IF(C467="","",ROW()-2)</f>
        <v/>
      </c>
      <c r="B467" s="825" t="n"/>
      <c r="C467" s="826" t="n"/>
      <c r="D467" s="827" t="n"/>
      <c r="E467" s="828" t="n"/>
      <c r="F467" s="829" t="n"/>
      <c r="G467" s="829" t="n"/>
      <c r="H467" s="830" t="n"/>
      <c r="I467" s="37" t="n"/>
      <c r="J467" s="37" t="n"/>
      <c r="K467" s="35">
        <f>IFERROR(I467+J467,0)</f>
        <v/>
      </c>
      <c r="U467" s="59" t="n"/>
      <c r="V467" s="59" t="n"/>
      <c r="W467" s="59" t="n"/>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IF(C468="","",ROW()-2)</f>
        <v/>
      </c>
      <c r="B468" s="825" t="n"/>
      <c r="C468" s="826" t="n"/>
      <c r="D468" s="827" t="n"/>
      <c r="E468" s="828" t="n"/>
      <c r="F468" s="829" t="n"/>
      <c r="G468" s="829" t="n"/>
      <c r="H468" s="830" t="n"/>
      <c r="I468" s="37" t="n"/>
      <c r="J468" s="37" t="n"/>
      <c r="K468" s="35">
        <f>IFERROR(I468+J468,0)</f>
        <v/>
      </c>
      <c r="U468" s="59" t="n"/>
      <c r="V468" s="59" t="n"/>
      <c r="W468" s="59" t="n"/>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IF(C469="","",ROW()-2)</f>
        <v/>
      </c>
      <c r="B469" s="825" t="n"/>
      <c r="C469" s="826" t="n"/>
      <c r="D469" s="827" t="n"/>
      <c r="E469" s="828" t="n"/>
      <c r="F469" s="829" t="n"/>
      <c r="G469" s="829" t="n"/>
      <c r="H469" s="830" t="n"/>
      <c r="I469" s="37" t="n"/>
      <c r="J469" s="37" t="n"/>
      <c r="K469" s="35">
        <f>IFERROR(I469+J469,0)</f>
        <v/>
      </c>
      <c r="U469" s="59" t="n"/>
      <c r="V469" s="59" t="n"/>
      <c r="W469" s="59" t="n"/>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IF(C470="","",ROW()-2)</f>
        <v/>
      </c>
      <c r="B470" s="825" t="n"/>
      <c r="C470" s="826" t="n"/>
      <c r="D470" s="827" t="n"/>
      <c r="E470" s="828" t="n"/>
      <c r="F470" s="829" t="n"/>
      <c r="G470" s="829" t="n"/>
      <c r="H470" s="830" t="n"/>
      <c r="I470" s="37" t="n"/>
      <c r="J470" s="37" t="n"/>
      <c r="K470" s="35">
        <f>IFERROR(I470+J470,0)</f>
        <v/>
      </c>
      <c r="U470" s="59" t="n"/>
      <c r="V470" s="59" t="n"/>
      <c r="W470" s="59" t="n"/>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IF(C471="","",ROW()-2)</f>
        <v/>
      </c>
      <c r="B471" s="825" t="n"/>
      <c r="C471" s="826" t="n"/>
      <c r="D471" s="827" t="n"/>
      <c r="E471" s="828" t="n"/>
      <c r="F471" s="829" t="n"/>
      <c r="G471" s="829" t="n"/>
      <c r="H471" s="830" t="n"/>
      <c r="I471" s="37" t="n"/>
      <c r="J471" s="37" t="n"/>
      <c r="K471" s="35">
        <f>IFERROR(I471+J471,0)</f>
        <v/>
      </c>
      <c r="U471" s="59" t="n"/>
      <c r="V471" s="59" t="n"/>
      <c r="W471" s="59" t="n"/>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IF(C472="","",ROW()-2)</f>
        <v/>
      </c>
      <c r="B472" s="825" t="n"/>
      <c r="C472" s="826" t="n"/>
      <c r="D472" s="827" t="n"/>
      <c r="E472" s="828" t="n"/>
      <c r="F472" s="829" t="n"/>
      <c r="G472" s="829" t="n"/>
      <c r="H472" s="830" t="n"/>
      <c r="I472" s="37" t="n"/>
      <c r="J472" s="37" t="n"/>
      <c r="K472" s="35">
        <f>IFERROR(I472+J472,0)</f>
        <v/>
      </c>
      <c r="U472" s="59" t="n"/>
      <c r="V472" s="59" t="n"/>
      <c r="W472" s="59" t="n"/>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IF(C473="","",ROW()-2)</f>
        <v/>
      </c>
      <c r="B473" s="825" t="n"/>
      <c r="C473" s="826" t="n"/>
      <c r="D473" s="827" t="n"/>
      <c r="E473" s="828" t="n"/>
      <c r="F473" s="829" t="n"/>
      <c r="G473" s="829" t="n"/>
      <c r="H473" s="830" t="n"/>
      <c r="I473" s="37" t="n"/>
      <c r="J473" s="37" t="n"/>
      <c r="K473" s="35">
        <f>IFERROR(I473+J473,0)</f>
        <v/>
      </c>
      <c r="U473" s="59" t="n"/>
      <c r="V473" s="59" t="n"/>
      <c r="W473" s="59" t="n"/>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IF(C474="","",ROW()-2)</f>
        <v/>
      </c>
      <c r="B474" s="825" t="n"/>
      <c r="C474" s="826" t="n"/>
      <c r="D474" s="827" t="n"/>
      <c r="E474" s="828" t="n"/>
      <c r="F474" s="829" t="n"/>
      <c r="G474" s="829" t="n"/>
      <c r="H474" s="830" t="n"/>
      <c r="I474" s="37" t="n"/>
      <c r="J474" s="37" t="n"/>
      <c r="K474" s="35">
        <f>IFERROR(I474+J474,0)</f>
        <v/>
      </c>
      <c r="U474" s="59" t="n"/>
      <c r="V474" s="59" t="n"/>
      <c r="W474" s="59" t="n"/>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IF(C475="","",ROW()-2)</f>
        <v/>
      </c>
      <c r="B475" s="825" t="n"/>
      <c r="C475" s="826" t="n"/>
      <c r="D475" s="827" t="n"/>
      <c r="E475" s="828" t="n"/>
      <c r="F475" s="829" t="n"/>
      <c r="G475" s="829" t="n"/>
      <c r="H475" s="830" t="n"/>
      <c r="I475" s="37" t="n"/>
      <c r="J475" s="37" t="n"/>
      <c r="K475" s="35">
        <f>IFERROR(I475+J475,0)</f>
        <v/>
      </c>
      <c r="U475" s="59" t="n"/>
      <c r="V475" s="59" t="n"/>
      <c r="W475" s="59" t="n"/>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IF(C476="","",ROW()-2)</f>
        <v/>
      </c>
      <c r="B476" s="825" t="n"/>
      <c r="C476" s="826" t="n"/>
      <c r="D476" s="827" t="n"/>
      <c r="E476" s="828" t="n"/>
      <c r="F476" s="829" t="n"/>
      <c r="G476" s="829" t="n"/>
      <c r="H476" s="830" t="n"/>
      <c r="I476" s="37" t="n"/>
      <c r="J476" s="37" t="n"/>
      <c r="K476" s="35">
        <f>IFERROR(I476+J476,0)</f>
        <v/>
      </c>
      <c r="U476" s="59" t="n"/>
      <c r="V476" s="59" t="n"/>
      <c r="W476" s="59" t="n"/>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IF(C477="","",ROW()-2)</f>
        <v/>
      </c>
      <c r="B477" s="825" t="n"/>
      <c r="C477" s="826" t="n"/>
      <c r="D477" s="827" t="n"/>
      <c r="E477" s="828" t="n"/>
      <c r="F477" s="829" t="n"/>
      <c r="G477" s="829" t="n"/>
      <c r="H477" s="830" t="n"/>
      <c r="I477" s="37" t="n"/>
      <c r="J477" s="37" t="n"/>
      <c r="K477" s="35">
        <f>IFERROR(I477+J477,0)</f>
        <v/>
      </c>
      <c r="U477" s="59" t="n"/>
      <c r="V477" s="59" t="n"/>
      <c r="W477" s="59" t="n"/>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IF(C478="","",ROW()-2)</f>
        <v/>
      </c>
      <c r="B478" s="825" t="n"/>
      <c r="C478" s="826" t="n"/>
      <c r="D478" s="827" t="n"/>
      <c r="E478" s="828" t="n"/>
      <c r="F478" s="829" t="n"/>
      <c r="G478" s="829" t="n"/>
      <c r="H478" s="830" t="n"/>
      <c r="I478" s="37" t="n"/>
      <c r="J478" s="37" t="n"/>
      <c r="K478" s="35">
        <f>IFERROR(I478+J478,0)</f>
        <v/>
      </c>
      <c r="U478" s="59" t="n"/>
      <c r="V478" s="59" t="n"/>
      <c r="W478" s="59" t="n"/>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IF(C479="","",ROW()-2)</f>
        <v/>
      </c>
      <c r="B479" s="825" t="n"/>
      <c r="C479" s="826" t="n"/>
      <c r="D479" s="827" t="n"/>
      <c r="E479" s="828" t="n"/>
      <c r="F479" s="829" t="n"/>
      <c r="G479" s="829" t="n"/>
      <c r="H479" s="830" t="n"/>
      <c r="I479" s="37" t="n"/>
      <c r="J479" s="37" t="n"/>
      <c r="K479" s="35">
        <f>IFERROR(I479+J479,0)</f>
        <v/>
      </c>
      <c r="U479" s="59" t="n"/>
      <c r="V479" s="59" t="n"/>
      <c r="W479" s="59" t="n"/>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IF(C480="","",ROW()-2)</f>
        <v/>
      </c>
      <c r="B480" s="825" t="n"/>
      <c r="C480" s="826" t="n"/>
      <c r="D480" s="827" t="n"/>
      <c r="E480" s="828" t="n"/>
      <c r="F480" s="829" t="n"/>
      <c r="G480" s="829" t="n"/>
      <c r="H480" s="830" t="n"/>
      <c r="I480" s="37" t="n"/>
      <c r="J480" s="37" t="n"/>
      <c r="K480" s="35">
        <f>IFERROR(I480+J480,0)</f>
        <v/>
      </c>
      <c r="U480" s="59" t="n"/>
      <c r="V480" s="59" t="n"/>
      <c r="W480" s="59" t="n"/>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IF(C481="","",ROW()-2)</f>
        <v/>
      </c>
      <c r="B481" s="825" t="n"/>
      <c r="C481" s="826" t="n"/>
      <c r="D481" s="827" t="n"/>
      <c r="E481" s="828" t="n"/>
      <c r="F481" s="829" t="n"/>
      <c r="G481" s="829" t="n"/>
      <c r="H481" s="830" t="n"/>
      <c r="I481" s="37" t="n"/>
      <c r="J481" s="37" t="n"/>
      <c r="K481" s="35">
        <f>IFERROR(I481+J481,0)</f>
        <v/>
      </c>
      <c r="U481" s="59" t="n"/>
      <c r="V481" s="59" t="n"/>
      <c r="W481" s="59" t="n"/>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IF(C482="","",ROW()-2)</f>
        <v/>
      </c>
      <c r="B482" s="825" t="n"/>
      <c r="C482" s="826" t="n"/>
      <c r="D482" s="827" t="n"/>
      <c r="E482" s="828" t="n"/>
      <c r="F482" s="829" t="n"/>
      <c r="G482" s="829" t="n"/>
      <c r="H482" s="830" t="n"/>
      <c r="I482" s="37" t="n"/>
      <c r="J482" s="37" t="n"/>
      <c r="K482" s="35">
        <f>IFERROR(I482+J482,0)</f>
        <v/>
      </c>
      <c r="U482" s="59" t="n"/>
      <c r="V482" s="59" t="n"/>
      <c r="W482" s="59" t="n"/>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IF(C483="","",ROW()-2)</f>
        <v/>
      </c>
      <c r="B483" s="825" t="n"/>
      <c r="C483" s="826" t="n"/>
      <c r="D483" s="827" t="n"/>
      <c r="E483" s="828" t="n"/>
      <c r="F483" s="829" t="n"/>
      <c r="G483" s="829" t="n"/>
      <c r="H483" s="830" t="n"/>
      <c r="I483" s="37" t="n"/>
      <c r="J483" s="37" t="n"/>
      <c r="K483" s="35">
        <f>IFERROR(I483+J483,0)</f>
        <v/>
      </c>
      <c r="U483" s="59" t="n"/>
      <c r="V483" s="59" t="n"/>
      <c r="W483" s="59" t="n"/>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IF(C484="","",ROW()-2)</f>
        <v/>
      </c>
      <c r="B484" s="825" t="n"/>
      <c r="C484" s="826" t="n"/>
      <c r="D484" s="827" t="n"/>
      <c r="E484" s="828" t="n"/>
      <c r="F484" s="829" t="n"/>
      <c r="G484" s="829" t="n"/>
      <c r="H484" s="830" t="n"/>
      <c r="I484" s="37" t="n"/>
      <c r="J484" s="37" t="n"/>
      <c r="K484" s="35">
        <f>IFERROR(I484+J484,0)</f>
        <v/>
      </c>
      <c r="U484" s="59" t="n"/>
      <c r="V484" s="59" t="n"/>
      <c r="W484" s="59" t="n"/>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IF(C485="","",ROW()-2)</f>
        <v/>
      </c>
      <c r="B485" s="825" t="n"/>
      <c r="C485" s="826" t="n"/>
      <c r="D485" s="827" t="n"/>
      <c r="E485" s="828" t="n"/>
      <c r="F485" s="829" t="n"/>
      <c r="G485" s="829" t="n"/>
      <c r="H485" s="830" t="n"/>
      <c r="I485" s="37" t="n"/>
      <c r="J485" s="37" t="n"/>
      <c r="K485" s="35">
        <f>IFERROR(I485+J485,0)</f>
        <v/>
      </c>
      <c r="U485" s="59" t="n"/>
      <c r="V485" s="59" t="n"/>
      <c r="W485" s="59" t="n"/>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IF(C486="","",ROW()-2)</f>
        <v/>
      </c>
      <c r="B486" s="825" t="n"/>
      <c r="C486" s="826" t="n"/>
      <c r="D486" s="827" t="n"/>
      <c r="E486" s="828" t="n"/>
      <c r="F486" s="829" t="n"/>
      <c r="G486" s="829" t="n"/>
      <c r="H486" s="830" t="n"/>
      <c r="I486" s="37" t="n"/>
      <c r="J486" s="37" t="n"/>
      <c r="K486" s="35">
        <f>IFERROR(I486+J486,0)</f>
        <v/>
      </c>
      <c r="U486" s="59" t="n"/>
      <c r="V486" s="59" t="n"/>
      <c r="W486" s="59" t="n"/>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IF(C487="","",ROW()-2)</f>
        <v/>
      </c>
      <c r="B487" s="825" t="n"/>
      <c r="C487" s="826" t="n"/>
      <c r="D487" s="827" t="n"/>
      <c r="E487" s="828" t="n"/>
      <c r="F487" s="829" t="n"/>
      <c r="G487" s="829" t="n"/>
      <c r="H487" s="830" t="n"/>
      <c r="I487" s="37" t="n"/>
      <c r="J487" s="37" t="n"/>
      <c r="K487" s="35">
        <f>IFERROR(I487+J487,0)</f>
        <v/>
      </c>
      <c r="U487" s="59" t="n"/>
      <c r="V487" s="59" t="n"/>
      <c r="W487" s="59" t="n"/>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IF(C488="","",ROW()-2)</f>
        <v/>
      </c>
      <c r="B488" s="825" t="n"/>
      <c r="C488" s="826" t="n"/>
      <c r="D488" s="827" t="n"/>
      <c r="E488" s="828" t="n"/>
      <c r="F488" s="829" t="n"/>
      <c r="G488" s="829" t="n"/>
      <c r="H488" s="830" t="n"/>
      <c r="I488" s="37" t="n"/>
      <c r="J488" s="37" t="n"/>
      <c r="K488" s="35">
        <f>IFERROR(I488+J488,0)</f>
        <v/>
      </c>
      <c r="U488" s="59" t="n"/>
      <c r="V488" s="59" t="n"/>
      <c r="W488" s="59" t="n"/>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IF(C489="","",ROW()-2)</f>
        <v/>
      </c>
      <c r="B489" s="825" t="n"/>
      <c r="C489" s="826" t="n"/>
      <c r="D489" s="827" t="n"/>
      <c r="E489" s="828" t="n"/>
      <c r="F489" s="829" t="n"/>
      <c r="G489" s="829" t="n"/>
      <c r="H489" s="830" t="n"/>
      <c r="I489" s="37" t="n"/>
      <c r="J489" s="37" t="n"/>
      <c r="K489" s="35">
        <f>IFERROR(I489+J489,0)</f>
        <v/>
      </c>
      <c r="U489" s="59" t="n"/>
      <c r="V489" s="59" t="n"/>
      <c r="W489" s="59" t="n"/>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IF(C490="","",ROW()-2)</f>
        <v/>
      </c>
      <c r="B490" s="825" t="n"/>
      <c r="C490" s="826" t="n"/>
      <c r="D490" s="827" t="n"/>
      <c r="E490" s="828" t="n"/>
      <c r="F490" s="829" t="n"/>
      <c r="G490" s="829" t="n"/>
      <c r="H490" s="830" t="n"/>
      <c r="I490" s="37" t="n"/>
      <c r="J490" s="37" t="n"/>
      <c r="K490" s="35">
        <f>IFERROR(I490+J490,0)</f>
        <v/>
      </c>
      <c r="U490" s="59" t="n"/>
      <c r="V490" s="59" t="n"/>
      <c r="W490" s="59" t="n"/>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IF(C491="","",ROW()-2)</f>
        <v/>
      </c>
      <c r="B491" s="825" t="n"/>
      <c r="C491" s="826" t="n"/>
      <c r="D491" s="827" t="n"/>
      <c r="E491" s="828" t="n"/>
      <c r="F491" s="829" t="n"/>
      <c r="G491" s="829" t="n"/>
      <c r="H491" s="830" t="n"/>
      <c r="I491" s="37" t="n"/>
      <c r="J491" s="37" t="n"/>
      <c r="K491" s="35">
        <f>IFERROR(I491+J491,0)</f>
        <v/>
      </c>
      <c r="U491" s="59" t="n"/>
      <c r="V491" s="59" t="n"/>
      <c r="W491" s="59" t="n"/>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IF(C492="","",ROW()-2)</f>
        <v/>
      </c>
      <c r="B492" s="825" t="n"/>
      <c r="C492" s="826" t="n"/>
      <c r="D492" s="827" t="n"/>
      <c r="E492" s="828" t="n"/>
      <c r="F492" s="829" t="n"/>
      <c r="G492" s="829" t="n"/>
      <c r="H492" s="830" t="n"/>
      <c r="I492" s="37" t="n"/>
      <c r="J492" s="37" t="n"/>
      <c r="K492" s="35">
        <f>IFERROR(I492+J492,0)</f>
        <v/>
      </c>
      <c r="U492" s="59" t="n"/>
      <c r="V492" s="59" t="n"/>
      <c r="W492" s="59" t="n"/>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IF(C493="","",ROW()-2)</f>
        <v/>
      </c>
      <c r="B493" s="825" t="n"/>
      <c r="C493" s="826" t="n"/>
      <c r="D493" s="827" t="n"/>
      <c r="E493" s="828" t="n"/>
      <c r="F493" s="829" t="n"/>
      <c r="G493" s="829" t="n"/>
      <c r="H493" s="830" t="n"/>
      <c r="I493" s="37" t="n"/>
      <c r="J493" s="37" t="n"/>
      <c r="K493" s="35">
        <f>IFERROR(I493+J493,0)</f>
        <v/>
      </c>
      <c r="U493" s="59" t="n"/>
      <c r="V493" s="59" t="n"/>
      <c r="W493" s="59" t="n"/>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IF(C494="","",ROW()-2)</f>
        <v/>
      </c>
      <c r="B494" s="825" t="n"/>
      <c r="C494" s="826" t="n"/>
      <c r="D494" s="827" t="n"/>
      <c r="E494" s="828" t="n"/>
      <c r="F494" s="829" t="n"/>
      <c r="G494" s="829" t="n"/>
      <c r="H494" s="830" t="n"/>
      <c r="I494" s="37" t="n"/>
      <c r="J494" s="37" t="n"/>
      <c r="K494" s="35">
        <f>IFERROR(I494+J494,0)</f>
        <v/>
      </c>
      <c r="U494" s="59" t="n"/>
      <c r="V494" s="59" t="n"/>
      <c r="W494" s="59" t="n"/>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IF(C495="","",ROW()-2)</f>
        <v/>
      </c>
      <c r="B495" s="825" t="n"/>
      <c r="C495" s="826" t="n"/>
      <c r="D495" s="827" t="n"/>
      <c r="E495" s="828" t="n"/>
      <c r="F495" s="829" t="n"/>
      <c r="G495" s="829" t="n"/>
      <c r="H495" s="830" t="n"/>
      <c r="I495" s="37" t="n"/>
      <c r="J495" s="37" t="n"/>
      <c r="K495" s="35">
        <f>IFERROR(I495+J495,0)</f>
        <v/>
      </c>
      <c r="U495" s="59" t="n"/>
      <c r="V495" s="59" t="n"/>
      <c r="W495" s="59" t="n"/>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IF(C496="","",ROW()-2)</f>
        <v/>
      </c>
      <c r="B496" s="825" t="n"/>
      <c r="C496" s="826" t="n"/>
      <c r="D496" s="827" t="n"/>
      <c r="E496" s="828" t="n"/>
      <c r="F496" s="829" t="n"/>
      <c r="G496" s="829" t="n"/>
      <c r="H496" s="830" t="n"/>
      <c r="I496" s="37" t="n"/>
      <c r="J496" s="37" t="n"/>
      <c r="K496" s="35">
        <f>IFERROR(I496+J496,0)</f>
        <v/>
      </c>
      <c r="U496" s="59" t="n"/>
      <c r="V496" s="59" t="n"/>
      <c r="W496" s="59" t="n"/>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IF(C497="","",ROW()-2)</f>
        <v/>
      </c>
      <c r="B497" s="825" t="n"/>
      <c r="C497" s="826" t="n"/>
      <c r="D497" s="827" t="n"/>
      <c r="E497" s="828" t="n"/>
      <c r="F497" s="829" t="n"/>
      <c r="G497" s="829" t="n"/>
      <c r="H497" s="830" t="n"/>
      <c r="I497" s="37" t="n"/>
      <c r="J497" s="37" t="n"/>
      <c r="K497" s="35">
        <f>IFERROR(I497+J497,0)</f>
        <v/>
      </c>
      <c r="U497" s="59" t="n"/>
      <c r="V497" s="59" t="n"/>
      <c r="W497" s="59" t="n"/>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IF(C498="","",ROW()-2)</f>
        <v/>
      </c>
      <c r="B498" s="825" t="n"/>
      <c r="C498" s="826" t="n"/>
      <c r="D498" s="827" t="n"/>
      <c r="E498" s="828" t="n"/>
      <c r="F498" s="829" t="n"/>
      <c r="G498" s="829" t="n"/>
      <c r="H498" s="830" t="n"/>
      <c r="I498" s="37" t="n"/>
      <c r="J498" s="37" t="n"/>
      <c r="K498" s="35">
        <f>IFERROR(I498+J498,0)</f>
        <v/>
      </c>
      <c r="U498" s="59" t="n"/>
      <c r="V498" s="59" t="n"/>
      <c r="W498" s="59" t="n"/>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IF(C499="","",ROW()-2)</f>
        <v/>
      </c>
      <c r="B499" s="825" t="n"/>
      <c r="C499" s="826" t="n"/>
      <c r="D499" s="827" t="n"/>
      <c r="E499" s="828" t="n"/>
      <c r="F499" s="829" t="n"/>
      <c r="G499" s="829" t="n"/>
      <c r="H499" s="830" t="n"/>
      <c r="I499" s="37" t="n"/>
      <c r="J499" s="37" t="n"/>
      <c r="K499" s="35">
        <f>IFERROR(I499+J499,0)</f>
        <v/>
      </c>
      <c r="U499" s="59" t="n"/>
      <c r="V499" s="59" t="n"/>
      <c r="W499" s="59" t="n"/>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IF(C500="","",ROW()-2)</f>
        <v/>
      </c>
      <c r="B500" s="825" t="n"/>
      <c r="C500" s="826" t="n"/>
      <c r="D500" s="827" t="n"/>
      <c r="E500" s="828" t="n"/>
      <c r="F500" s="829" t="n"/>
      <c r="G500" s="829" t="n"/>
      <c r="H500" s="830" t="n"/>
      <c r="I500" s="37" t="n"/>
      <c r="J500" s="37" t="n"/>
      <c r="K500" s="35">
        <f>IFERROR(I500+J500,0)</f>
        <v/>
      </c>
      <c r="U500" s="59" t="n"/>
      <c r="V500" s="59" t="n"/>
      <c r="W500" s="59" t="n"/>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IF(C501="","",ROW()-2)</f>
        <v/>
      </c>
      <c r="B501" s="825" t="n"/>
      <c r="C501" s="826" t="n"/>
      <c r="D501" s="827" t="n"/>
      <c r="E501" s="828" t="n"/>
      <c r="F501" s="829" t="n"/>
      <c r="G501" s="829" t="n"/>
      <c r="H501" s="830" t="n"/>
      <c r="I501" s="37" t="n"/>
      <c r="J501" s="37" t="n"/>
      <c r="K501" s="35">
        <f>IFERROR(I501+J501,0)</f>
        <v/>
      </c>
      <c r="U501" s="59" t="n"/>
      <c r="V501" s="59" t="n"/>
      <c r="W501" s="59" t="n"/>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IF(C502="","",ROW()-2)</f>
        <v/>
      </c>
      <c r="B502" s="825" t="n"/>
      <c r="C502" s="826" t="n"/>
      <c r="D502" s="827" t="n"/>
      <c r="E502" s="828" t="n"/>
      <c r="F502" s="829" t="n"/>
      <c r="G502" s="829" t="n"/>
      <c r="H502" s="830" t="n"/>
      <c r="I502" s="37" t="n"/>
      <c r="J502" s="37" t="n"/>
      <c r="K502" s="35">
        <f>IFERROR(I502+J502,0)</f>
        <v/>
      </c>
      <c r="U502" s="59" t="n"/>
      <c r="V502" s="59" t="n"/>
      <c r="W502" s="59" t="n"/>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IF(C503="","",ROW()-2)</f>
        <v/>
      </c>
      <c r="B503" s="825" t="n"/>
      <c r="C503" s="826" t="n"/>
      <c r="D503" s="827" t="n"/>
      <c r="E503" s="828" t="n"/>
      <c r="F503" s="829" t="n"/>
      <c r="G503" s="829" t="n"/>
      <c r="H503" s="830" t="n"/>
      <c r="I503" s="37" t="n"/>
      <c r="J503" s="37" t="n"/>
      <c r="K503" s="35">
        <f>IFERROR(I503+J503,0)</f>
        <v/>
      </c>
      <c r="U503" s="59" t="n"/>
      <c r="V503" s="59" t="n"/>
      <c r="W503" s="59" t="n"/>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IF(C504="","",ROW()-2)</f>
        <v/>
      </c>
      <c r="B504" s="825" t="n"/>
      <c r="C504" s="826" t="n"/>
      <c r="D504" s="827" t="n"/>
      <c r="E504" s="828" t="n"/>
      <c r="F504" s="829" t="n"/>
      <c r="G504" s="829" t="n"/>
      <c r="H504" s="830" t="n"/>
      <c r="I504" s="37" t="n"/>
      <c r="J504" s="37" t="n"/>
      <c r="K504" s="35">
        <f>IFERROR(I504+J504,0)</f>
        <v/>
      </c>
      <c r="U504" s="59" t="n"/>
      <c r="V504" s="59" t="n"/>
      <c r="W504" s="59" t="n"/>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IF(C505="","",ROW()-2)</f>
        <v/>
      </c>
      <c r="B505" s="825" t="n"/>
      <c r="C505" s="826" t="n"/>
      <c r="D505" s="827" t="n"/>
      <c r="E505" s="828" t="n"/>
      <c r="F505" s="829" t="n"/>
      <c r="G505" s="829" t="n"/>
      <c r="H505" s="830" t="n"/>
      <c r="I505" s="37" t="n"/>
      <c r="J505" s="37" t="n"/>
      <c r="K505" s="35">
        <f>IFERROR(I505+J505,0)</f>
        <v/>
      </c>
      <c r="U505" s="59" t="n"/>
      <c r="V505" s="59" t="n"/>
      <c r="W505" s="59" t="n"/>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IF(C506="","",ROW()-2)</f>
        <v/>
      </c>
      <c r="B506" s="825" t="n"/>
      <c r="C506" s="826" t="n"/>
      <c r="D506" s="827" t="n"/>
      <c r="E506" s="828" t="n"/>
      <c r="F506" s="829" t="n"/>
      <c r="G506" s="829" t="n"/>
      <c r="H506" s="830" t="n"/>
      <c r="I506" s="37" t="n"/>
      <c r="J506" s="37" t="n"/>
      <c r="K506" s="35">
        <f>IFERROR(I506+J506,0)</f>
        <v/>
      </c>
      <c r="U506" s="59" t="n"/>
      <c r="V506" s="59" t="n"/>
      <c r="W506" s="59" t="n"/>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IF(C507="","",ROW()-2)</f>
        <v/>
      </c>
      <c r="B507" s="825" t="n"/>
      <c r="C507" s="826" t="n"/>
      <c r="D507" s="827" t="n"/>
      <c r="E507" s="828" t="n"/>
      <c r="F507" s="829" t="n"/>
      <c r="G507" s="829" t="n"/>
      <c r="H507" s="830" t="n"/>
      <c r="I507" s="37" t="n"/>
      <c r="J507" s="37" t="n"/>
      <c r="K507" s="35">
        <f>IFERROR(I507+J507,0)</f>
        <v/>
      </c>
      <c r="U507" s="59" t="n"/>
      <c r="V507" s="59" t="n"/>
      <c r="W507" s="59" t="n"/>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IF(C508="","",ROW()-2)</f>
        <v/>
      </c>
      <c r="B508" s="825" t="n"/>
      <c r="C508" s="826" t="n"/>
      <c r="D508" s="827" t="n"/>
      <c r="E508" s="828" t="n"/>
      <c r="F508" s="829" t="n"/>
      <c r="G508" s="829" t="n"/>
      <c r="H508" s="830" t="n"/>
      <c r="I508" s="37" t="n"/>
      <c r="J508" s="37" t="n"/>
      <c r="K508" s="35">
        <f>IFERROR(I508+J508,0)</f>
        <v/>
      </c>
      <c r="U508" s="59" t="n"/>
      <c r="V508" s="59" t="n"/>
      <c r="W508" s="59" t="n"/>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IF(C509="","",ROW()-2)</f>
        <v/>
      </c>
      <c r="B509" s="825" t="n"/>
      <c r="C509" s="826" t="n"/>
      <c r="D509" s="827" t="n"/>
      <c r="E509" s="828" t="n"/>
      <c r="F509" s="829" t="n"/>
      <c r="G509" s="829" t="n"/>
      <c r="H509" s="830" t="n"/>
      <c r="I509" s="37" t="n"/>
      <c r="J509" s="37" t="n"/>
      <c r="K509" s="35">
        <f>IFERROR(I509+J509,0)</f>
        <v/>
      </c>
      <c r="U509" s="59" t="n"/>
      <c r="V509" s="59" t="n"/>
      <c r="W509" s="59" t="n"/>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IF(C510="","",ROW()-2)</f>
        <v/>
      </c>
      <c r="B510" s="825" t="n"/>
      <c r="C510" s="826" t="n"/>
      <c r="D510" s="827" t="n"/>
      <c r="E510" s="828" t="n"/>
      <c r="F510" s="829" t="n"/>
      <c r="G510" s="829" t="n"/>
      <c r="H510" s="830" t="n"/>
      <c r="I510" s="37" t="n"/>
      <c r="J510" s="37" t="n"/>
      <c r="K510" s="35">
        <f>IFERROR(I510+J510,0)</f>
        <v/>
      </c>
      <c r="U510" s="59" t="n"/>
      <c r="V510" s="59" t="n"/>
      <c r="W510" s="59" t="n"/>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IF(C511="","",ROW()-2)</f>
        <v/>
      </c>
      <c r="B511" s="825" t="n"/>
      <c r="C511" s="826" t="n"/>
      <c r="D511" s="827" t="n"/>
      <c r="E511" s="828" t="n"/>
      <c r="F511" s="829" t="n"/>
      <c r="G511" s="829" t="n"/>
      <c r="H511" s="830" t="n"/>
      <c r="I511" s="37" t="n"/>
      <c r="J511" s="37" t="n"/>
      <c r="K511" s="35">
        <f>IFERROR(I511+J511,0)</f>
        <v/>
      </c>
      <c r="U511" s="59" t="n"/>
      <c r="V511" s="59" t="n"/>
      <c r="W511" s="59" t="n"/>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IF(C512="","",ROW()-2)</f>
        <v/>
      </c>
      <c r="B512" s="825" t="n"/>
      <c r="C512" s="826" t="n"/>
      <c r="D512" s="827" t="n"/>
      <c r="E512" s="828" t="n"/>
      <c r="F512" s="829" t="n"/>
      <c r="G512" s="829" t="n"/>
      <c r="H512" s="830" t="n"/>
      <c r="I512" s="37" t="n"/>
      <c r="J512" s="37" t="n"/>
      <c r="K512" s="35">
        <f>IFERROR(I512+J512,0)</f>
        <v/>
      </c>
      <c r="U512" s="59" t="n"/>
      <c r="V512" s="59" t="n"/>
      <c r="W512" s="59" t="n"/>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IF(C513="","",ROW()-2)</f>
        <v/>
      </c>
      <c r="B513" s="825" t="n"/>
      <c r="C513" s="826" t="n"/>
      <c r="D513" s="827" t="n"/>
      <c r="E513" s="828" t="n"/>
      <c r="F513" s="829" t="n"/>
      <c r="G513" s="829" t="n"/>
      <c r="H513" s="830" t="n"/>
      <c r="I513" s="37" t="n"/>
      <c r="J513" s="37" t="n"/>
      <c r="K513" s="35">
        <f>IFERROR(I513+J513,0)</f>
        <v/>
      </c>
      <c r="U513" s="59" t="n"/>
      <c r="V513" s="59" t="n"/>
      <c r="W513" s="59" t="n"/>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IF(C514="","",ROW()-2)</f>
        <v/>
      </c>
      <c r="B514" s="825" t="n"/>
      <c r="C514" s="826" t="n"/>
      <c r="D514" s="827" t="n"/>
      <c r="E514" s="828" t="n"/>
      <c r="F514" s="829" t="n"/>
      <c r="G514" s="829" t="n"/>
      <c r="H514" s="830" t="n"/>
      <c r="I514" s="37" t="n"/>
      <c r="J514" s="37" t="n"/>
      <c r="K514" s="35">
        <f>IFERROR(I514+J514,0)</f>
        <v/>
      </c>
      <c r="U514" s="59" t="n"/>
      <c r="V514" s="59" t="n"/>
      <c r="W514" s="59" t="n"/>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IF(C515="","",ROW()-2)</f>
        <v/>
      </c>
      <c r="B515" s="825" t="n"/>
      <c r="C515" s="826" t="n"/>
      <c r="D515" s="827" t="n"/>
      <c r="E515" s="828" t="n"/>
      <c r="F515" s="829" t="n"/>
      <c r="G515" s="829" t="n"/>
      <c r="H515" s="830" t="n"/>
      <c r="I515" s="37" t="n"/>
      <c r="J515" s="37" t="n"/>
      <c r="K515" s="35">
        <f>IFERROR(I515+J515,0)</f>
        <v/>
      </c>
      <c r="U515" s="59" t="n"/>
      <c r="V515" s="59" t="n"/>
      <c r="W515" s="59" t="n"/>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IF(C516="","",ROW()-2)</f>
        <v/>
      </c>
      <c r="B516" s="825" t="n"/>
      <c r="C516" s="826" t="n"/>
      <c r="D516" s="827" t="n"/>
      <c r="E516" s="828" t="n"/>
      <c r="F516" s="829" t="n"/>
      <c r="G516" s="829" t="n"/>
      <c r="H516" s="830" t="n"/>
      <c r="I516" s="37" t="n"/>
      <c r="J516" s="37" t="n"/>
      <c r="K516" s="35">
        <f>IFERROR(I516+J516,0)</f>
        <v/>
      </c>
      <c r="U516" s="59" t="n"/>
      <c r="V516" s="59" t="n"/>
      <c r="W516" s="59" t="n"/>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IF(C517="","",ROW()-2)</f>
        <v/>
      </c>
      <c r="B517" s="825" t="n"/>
      <c r="C517" s="826" t="n"/>
      <c r="D517" s="827" t="n"/>
      <c r="E517" s="828" t="n"/>
      <c r="F517" s="829" t="n"/>
      <c r="G517" s="829" t="n"/>
      <c r="H517" s="830" t="n"/>
      <c r="I517" s="37" t="n"/>
      <c r="J517" s="37" t="n"/>
      <c r="K517" s="35">
        <f>IFERROR(I517+J517,0)</f>
        <v/>
      </c>
      <c r="U517" s="59" t="n"/>
      <c r="V517" s="59" t="n"/>
      <c r="W517" s="59" t="n"/>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IF(C518="","",ROW()-2)</f>
        <v/>
      </c>
      <c r="B518" s="825" t="n"/>
      <c r="C518" s="826" t="n"/>
      <c r="D518" s="827" t="n"/>
      <c r="E518" s="828" t="n"/>
      <c r="F518" s="829" t="n"/>
      <c r="G518" s="829" t="n"/>
      <c r="H518" s="830" t="n"/>
      <c r="I518" s="37" t="n"/>
      <c r="J518" s="37" t="n"/>
      <c r="K518" s="35">
        <f>IFERROR(I518+J518,0)</f>
        <v/>
      </c>
      <c r="U518" s="59" t="n"/>
      <c r="V518" s="59" t="n"/>
      <c r="W518" s="59" t="n"/>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IF(C519="","",ROW()-2)</f>
        <v/>
      </c>
      <c r="B519" s="825" t="n"/>
      <c r="C519" s="826" t="n"/>
      <c r="D519" s="827" t="n"/>
      <c r="E519" s="828" t="n"/>
      <c r="F519" s="829" t="n"/>
      <c r="G519" s="829" t="n"/>
      <c r="H519" s="830" t="n"/>
      <c r="I519" s="37" t="n"/>
      <c r="J519" s="37" t="n"/>
      <c r="K519" s="35">
        <f>IFERROR(I519+J519,0)</f>
        <v/>
      </c>
      <c r="U519" s="59" t="n"/>
      <c r="V519" s="59" t="n"/>
      <c r="W519" s="59" t="n"/>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IF(C520="","",ROW()-2)</f>
        <v/>
      </c>
      <c r="B520" s="825" t="n"/>
      <c r="C520" s="826" t="n"/>
      <c r="D520" s="827" t="n"/>
      <c r="E520" s="828" t="n"/>
      <c r="F520" s="829" t="n"/>
      <c r="G520" s="829" t="n"/>
      <c r="H520" s="830" t="n"/>
      <c r="I520" s="37" t="n"/>
      <c r="J520" s="37" t="n"/>
      <c r="K520" s="35">
        <f>IFERROR(I520+J520,0)</f>
        <v/>
      </c>
      <c r="U520" s="59" t="n"/>
      <c r="V520" s="59" t="n"/>
      <c r="W520" s="59" t="n"/>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IF(C521="","",ROW()-2)</f>
        <v/>
      </c>
      <c r="B521" s="825" t="n"/>
      <c r="C521" s="826" t="n"/>
      <c r="D521" s="827" t="n"/>
      <c r="E521" s="828" t="n"/>
      <c r="F521" s="829" t="n"/>
      <c r="G521" s="829" t="n"/>
      <c r="H521" s="830" t="n"/>
      <c r="I521" s="37" t="n"/>
      <c r="J521" s="37" t="n"/>
      <c r="K521" s="35">
        <f>IFERROR(I521+J521,0)</f>
        <v/>
      </c>
      <c r="U521" s="59" t="n"/>
      <c r="V521" s="59" t="n"/>
      <c r="W521" s="59" t="n"/>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IF(C522="","",ROW()-2)</f>
        <v/>
      </c>
      <c r="B522" s="825" t="n"/>
      <c r="C522" s="826" t="n"/>
      <c r="D522" s="827" t="n"/>
      <c r="E522" s="828" t="n"/>
      <c r="F522" s="829" t="n"/>
      <c r="G522" s="829" t="n"/>
      <c r="H522" s="830" t="n"/>
      <c r="I522" s="37" t="n"/>
      <c r="J522" s="37" t="n"/>
      <c r="K522" s="35">
        <f>IFERROR(I522+J522,0)</f>
        <v/>
      </c>
      <c r="U522" s="59" t="n"/>
      <c r="V522" s="59" t="n"/>
      <c r="W522" s="59" t="n"/>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IF(C523="","",ROW()-2)</f>
        <v/>
      </c>
      <c r="B523" s="825" t="n"/>
      <c r="C523" s="826" t="n"/>
      <c r="D523" s="827" t="n"/>
      <c r="E523" s="828" t="n"/>
      <c r="F523" s="829" t="n"/>
      <c r="G523" s="829" t="n"/>
      <c r="H523" s="830" t="n"/>
      <c r="I523" s="37" t="n"/>
      <c r="J523" s="37" t="n"/>
      <c r="K523" s="35">
        <f>IFERROR(I523+J523,0)</f>
        <v/>
      </c>
      <c r="U523" s="59" t="n"/>
      <c r="V523" s="59" t="n"/>
      <c r="W523" s="59" t="n"/>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IF(C524="","",ROW()-2)</f>
        <v/>
      </c>
      <c r="B524" s="825" t="n"/>
      <c r="C524" s="826" t="n"/>
      <c r="D524" s="827" t="n"/>
      <c r="E524" s="828" t="n"/>
      <c r="F524" s="829" t="n"/>
      <c r="G524" s="829" t="n"/>
      <c r="H524" s="830" t="n"/>
      <c r="I524" s="37" t="n"/>
      <c r="J524" s="37" t="n"/>
      <c r="K524" s="35">
        <f>IFERROR(I524+J524,0)</f>
        <v/>
      </c>
      <c r="U524" s="59" t="n"/>
      <c r="V524" s="59" t="n"/>
      <c r="W524" s="59" t="n"/>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IF(C525="","",ROW()-2)</f>
        <v/>
      </c>
      <c r="B525" s="825" t="n"/>
      <c r="C525" s="826" t="n"/>
      <c r="D525" s="827" t="n"/>
      <c r="E525" s="828" t="n"/>
      <c r="F525" s="829" t="n"/>
      <c r="G525" s="829" t="n"/>
      <c r="H525" s="830" t="n"/>
      <c r="I525" s="37" t="n"/>
      <c r="J525" s="37" t="n"/>
      <c r="K525" s="35">
        <f>IFERROR(I525+J525,0)</f>
        <v/>
      </c>
      <c r="U525" s="59" t="n"/>
      <c r="V525" s="59" t="n"/>
      <c r="W525" s="59" t="n"/>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IF(C526="","",ROW()-2)</f>
        <v/>
      </c>
      <c r="B526" s="825" t="n"/>
      <c r="C526" s="826" t="n"/>
      <c r="D526" s="827" t="n"/>
      <c r="E526" s="828" t="n"/>
      <c r="F526" s="829" t="n"/>
      <c r="G526" s="829" t="n"/>
      <c r="H526" s="830" t="n"/>
      <c r="I526" s="37" t="n"/>
      <c r="J526" s="37" t="n"/>
      <c r="K526" s="35">
        <f>IFERROR(I526+J526,0)</f>
        <v/>
      </c>
      <c r="U526" s="59" t="n"/>
      <c r="V526" s="59" t="n"/>
      <c r="W526" s="59" t="n"/>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IF(C527="","",ROW()-2)</f>
        <v/>
      </c>
      <c r="B527" s="825" t="n"/>
      <c r="C527" s="826" t="n"/>
      <c r="D527" s="827" t="n"/>
      <c r="E527" s="828" t="n"/>
      <c r="F527" s="829" t="n"/>
      <c r="G527" s="829" t="n"/>
      <c r="H527" s="830" t="n"/>
      <c r="I527" s="37" t="n"/>
      <c r="J527" s="37" t="n"/>
      <c r="K527" s="35">
        <f>IFERROR(I527+J527,0)</f>
        <v/>
      </c>
      <c r="U527" s="59" t="n"/>
      <c r="V527" s="59" t="n"/>
      <c r="W527" s="59" t="n"/>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IF(C528="","",ROW()-2)</f>
        <v/>
      </c>
      <c r="B528" s="825" t="n"/>
      <c r="C528" s="826" t="n"/>
      <c r="D528" s="827" t="n"/>
      <c r="E528" s="828" t="n"/>
      <c r="F528" s="829" t="n"/>
      <c r="G528" s="829" t="n"/>
      <c r="H528" s="830" t="n"/>
      <c r="I528" s="37" t="n"/>
      <c r="J528" s="37" t="n"/>
      <c r="K528" s="35">
        <f>IFERROR(I528+J528,0)</f>
        <v/>
      </c>
      <c r="U528" s="59" t="n"/>
      <c r="V528" s="59" t="n"/>
      <c r="W528" s="59" t="n"/>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IF(C529="","",ROW()-2)</f>
        <v/>
      </c>
      <c r="B529" s="825" t="n"/>
      <c r="C529" s="826" t="n"/>
      <c r="D529" s="827" t="n"/>
      <c r="E529" s="828" t="n"/>
      <c r="F529" s="829" t="n"/>
      <c r="G529" s="829" t="n"/>
      <c r="H529" s="830" t="n"/>
      <c r="I529" s="37" t="n"/>
      <c r="J529" s="37" t="n"/>
      <c r="K529" s="35">
        <f>IFERROR(I529+J529,0)</f>
        <v/>
      </c>
      <c r="U529" s="59" t="n"/>
      <c r="V529" s="59" t="n"/>
      <c r="W529" s="59" t="n"/>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IF(C530="","",ROW()-2)</f>
        <v/>
      </c>
      <c r="B530" s="825" t="n"/>
      <c r="C530" s="826" t="n"/>
      <c r="D530" s="827" t="n"/>
      <c r="E530" s="828" t="n"/>
      <c r="F530" s="829" t="n"/>
      <c r="G530" s="829" t="n"/>
      <c r="H530" s="830" t="n"/>
      <c r="I530" s="37" t="n"/>
      <c r="J530" s="37" t="n"/>
      <c r="K530" s="35">
        <f>IFERROR(I530+J530,0)</f>
        <v/>
      </c>
      <c r="U530" s="59" t="n"/>
      <c r="V530" s="59" t="n"/>
      <c r="W530" s="59" t="n"/>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IF(C531="","",ROW()-2)</f>
        <v/>
      </c>
      <c r="B531" s="825" t="n"/>
      <c r="C531" s="826" t="n"/>
      <c r="D531" s="827" t="n"/>
      <c r="E531" s="828" t="n"/>
      <c r="F531" s="829" t="n"/>
      <c r="G531" s="829" t="n"/>
      <c r="H531" s="830" t="n"/>
      <c r="I531" s="37" t="n"/>
      <c r="J531" s="37" t="n"/>
      <c r="K531" s="35">
        <f>IFERROR(I531+J531,0)</f>
        <v/>
      </c>
      <c r="U531" s="59" t="n"/>
      <c r="V531" s="59" t="n"/>
      <c r="W531" s="59" t="n"/>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IF(C532="","",ROW()-2)</f>
        <v/>
      </c>
      <c r="B532" s="825" t="n"/>
      <c r="C532" s="826" t="n"/>
      <c r="D532" s="827" t="n"/>
      <c r="E532" s="828" t="n"/>
      <c r="F532" s="829" t="n"/>
      <c r="G532" s="829" t="n"/>
      <c r="H532" s="830" t="n"/>
      <c r="I532" s="37" t="n"/>
      <c r="J532" s="37" t="n"/>
      <c r="K532" s="35">
        <f>IFERROR(I532+J532,0)</f>
        <v/>
      </c>
      <c r="U532" s="59" t="n"/>
      <c r="V532" s="59" t="n"/>
      <c r="W532" s="59" t="n"/>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IF(C533="","",ROW()-2)</f>
        <v/>
      </c>
      <c r="B533" s="825" t="n"/>
      <c r="C533" s="826" t="n"/>
      <c r="D533" s="827" t="n"/>
      <c r="E533" s="828" t="n"/>
      <c r="F533" s="829" t="n"/>
      <c r="G533" s="829" t="n"/>
      <c r="H533" s="830" t="n"/>
      <c r="I533" s="37" t="n"/>
      <c r="J533" s="37" t="n"/>
      <c r="K533" s="35">
        <f>IFERROR(I533+J533,0)</f>
        <v/>
      </c>
      <c r="U533" s="59" t="n"/>
      <c r="V533" s="59" t="n"/>
      <c r="W533" s="59" t="n"/>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IF(C534="","",ROW()-2)</f>
        <v/>
      </c>
      <c r="B534" s="825" t="n"/>
      <c r="C534" s="826" t="n"/>
      <c r="D534" s="827" t="n"/>
      <c r="E534" s="828" t="n"/>
      <c r="F534" s="829" t="n"/>
      <c r="G534" s="829" t="n"/>
      <c r="H534" s="830" t="n"/>
      <c r="I534" s="37" t="n"/>
      <c r="J534" s="37" t="n"/>
      <c r="K534" s="35">
        <f>IFERROR(I534+J534,0)</f>
        <v/>
      </c>
      <c r="U534" s="59" t="n"/>
      <c r="V534" s="59" t="n"/>
      <c r="W534" s="59" t="n"/>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IF(C535="","",ROW()-2)</f>
        <v/>
      </c>
      <c r="B535" s="825" t="n"/>
      <c r="C535" s="826" t="n"/>
      <c r="D535" s="827" t="n"/>
      <c r="E535" s="828" t="n"/>
      <c r="F535" s="829" t="n"/>
      <c r="G535" s="829" t="n"/>
      <c r="H535" s="830" t="n"/>
      <c r="I535" s="37" t="n"/>
      <c r="J535" s="37" t="n"/>
      <c r="K535" s="35">
        <f>IFERROR(I535+J535,0)</f>
        <v/>
      </c>
      <c r="U535" s="59" t="n"/>
      <c r="V535" s="59" t="n"/>
      <c r="W535" s="59" t="n"/>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IF(C536="","",ROW()-2)</f>
        <v/>
      </c>
      <c r="B536" s="825" t="n"/>
      <c r="C536" s="826" t="n"/>
      <c r="D536" s="827" t="n"/>
      <c r="E536" s="828" t="n"/>
      <c r="F536" s="829" t="n"/>
      <c r="G536" s="829" t="n"/>
      <c r="H536" s="830" t="n"/>
      <c r="I536" s="37" t="n"/>
      <c r="J536" s="37" t="n"/>
      <c r="K536" s="35">
        <f>IFERROR(I536+J536,0)</f>
        <v/>
      </c>
      <c r="U536" s="59" t="n"/>
      <c r="V536" s="59" t="n"/>
      <c r="W536" s="59" t="n"/>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IF(C537="","",ROW()-2)</f>
        <v/>
      </c>
      <c r="B537" s="825" t="n"/>
      <c r="C537" s="826" t="n"/>
      <c r="D537" s="827" t="n"/>
      <c r="E537" s="828" t="n"/>
      <c r="F537" s="829" t="n"/>
      <c r="G537" s="829" t="n"/>
      <c r="H537" s="830" t="n"/>
      <c r="I537" s="37" t="n"/>
      <c r="J537" s="37" t="n"/>
      <c r="K537" s="35">
        <f>IFERROR(I537+J537,0)</f>
        <v/>
      </c>
      <c r="U537" s="59" t="n"/>
      <c r="V537" s="59" t="n"/>
      <c r="W537" s="59" t="n"/>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IF(C538="","",ROW()-2)</f>
        <v/>
      </c>
      <c r="B538" s="825" t="n"/>
      <c r="C538" s="826" t="n"/>
      <c r="D538" s="827" t="n"/>
      <c r="E538" s="828" t="n"/>
      <c r="F538" s="829" t="n"/>
      <c r="G538" s="829" t="n"/>
      <c r="H538" s="830" t="n"/>
      <c r="I538" s="37" t="n"/>
      <c r="J538" s="37" t="n"/>
      <c r="K538" s="35">
        <f>IFERROR(I538+J538,0)</f>
        <v/>
      </c>
      <c r="U538" s="59" t="n"/>
      <c r="V538" s="59" t="n"/>
      <c r="W538" s="59" t="n"/>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IF(C539="","",ROW()-2)</f>
        <v/>
      </c>
      <c r="B539" s="825" t="n"/>
      <c r="C539" s="826" t="n"/>
      <c r="D539" s="827" t="n"/>
      <c r="E539" s="828" t="n"/>
      <c r="F539" s="829" t="n"/>
      <c r="G539" s="829" t="n"/>
      <c r="H539" s="830" t="n"/>
      <c r="I539" s="37" t="n"/>
      <c r="J539" s="37" t="n"/>
      <c r="K539" s="35">
        <f>IFERROR(I539+J539,0)</f>
        <v/>
      </c>
      <c r="U539" s="59" t="n"/>
      <c r="V539" s="59" t="n"/>
      <c r="W539" s="59" t="n"/>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IF(C540="","",ROW()-2)</f>
        <v/>
      </c>
      <c r="B540" s="825" t="n"/>
      <c r="C540" s="826" t="n"/>
      <c r="D540" s="827" t="n"/>
      <c r="E540" s="828" t="n"/>
      <c r="F540" s="829" t="n"/>
      <c r="G540" s="829" t="n"/>
      <c r="H540" s="830" t="n"/>
      <c r="I540" s="37" t="n"/>
      <c r="J540" s="37" t="n"/>
      <c r="K540" s="35">
        <f>IFERROR(I540+J540,0)</f>
        <v/>
      </c>
      <c r="U540" s="59" t="n"/>
      <c r="V540" s="59" t="n"/>
      <c r="W540" s="59" t="n"/>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IF(C541="","",ROW()-2)</f>
        <v/>
      </c>
      <c r="B541" s="825" t="n"/>
      <c r="C541" s="826" t="n"/>
      <c r="D541" s="827" t="n"/>
      <c r="E541" s="828" t="n"/>
      <c r="F541" s="829" t="n"/>
      <c r="G541" s="829" t="n"/>
      <c r="H541" s="830" t="n"/>
      <c r="I541" s="37" t="n"/>
      <c r="J541" s="37" t="n"/>
      <c r="K541" s="35">
        <f>IFERROR(I541+J541,0)</f>
        <v/>
      </c>
      <c r="U541" s="59" t="n"/>
      <c r="V541" s="59" t="n"/>
      <c r="W541" s="59" t="n"/>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IF(C542="","",ROW()-2)</f>
        <v/>
      </c>
      <c r="B542" s="825" t="n"/>
      <c r="C542" s="826" t="n"/>
      <c r="D542" s="827" t="n"/>
      <c r="E542" s="828" t="n"/>
      <c r="F542" s="829" t="n"/>
      <c r="G542" s="829" t="n"/>
      <c r="H542" s="830" t="n"/>
      <c r="I542" s="37" t="n"/>
      <c r="J542" s="37" t="n"/>
      <c r="K542" s="35">
        <f>IFERROR(I542+J542,0)</f>
        <v/>
      </c>
      <c r="U542" s="59" t="n"/>
      <c r="V542" s="59" t="n"/>
      <c r="W542" s="59" t="n"/>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IF(C543="","",ROW()-2)</f>
        <v/>
      </c>
      <c r="B543" s="825" t="n"/>
      <c r="C543" s="826" t="n"/>
      <c r="D543" s="827" t="n"/>
      <c r="E543" s="828" t="n"/>
      <c r="F543" s="829" t="n"/>
      <c r="G543" s="829" t="n"/>
      <c r="H543" s="830" t="n"/>
      <c r="I543" s="37" t="n"/>
      <c r="J543" s="37" t="n"/>
      <c r="K543" s="35">
        <f>IFERROR(I543+J543,0)</f>
        <v/>
      </c>
      <c r="U543" s="59" t="n"/>
      <c r="V543" s="59" t="n"/>
      <c r="W543" s="59" t="n"/>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IF(C544="","",ROW()-2)</f>
        <v/>
      </c>
      <c r="B544" s="825" t="n"/>
      <c r="C544" s="826" t="n"/>
      <c r="D544" s="827" t="n"/>
      <c r="E544" s="828" t="n"/>
      <c r="F544" s="829" t="n"/>
      <c r="G544" s="829" t="n"/>
      <c r="H544" s="830" t="n"/>
      <c r="I544" s="37" t="n"/>
      <c r="J544" s="37" t="n"/>
      <c r="K544" s="35">
        <f>IFERROR(I544+J544,0)</f>
        <v/>
      </c>
      <c r="U544" s="59" t="n"/>
      <c r="V544" s="59" t="n"/>
      <c r="W544" s="59" t="n"/>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IF(C545="","",ROW()-2)</f>
        <v/>
      </c>
      <c r="B545" s="825" t="n"/>
      <c r="C545" s="826" t="n"/>
      <c r="D545" s="827" t="n"/>
      <c r="E545" s="828" t="n"/>
      <c r="F545" s="829" t="n"/>
      <c r="G545" s="829" t="n"/>
      <c r="H545" s="830" t="n"/>
      <c r="I545" s="37" t="n"/>
      <c r="J545" s="37" t="n"/>
      <c r="K545" s="35">
        <f>IFERROR(I545+J545,0)</f>
        <v/>
      </c>
      <c r="U545" s="59" t="n"/>
      <c r="V545" s="59" t="n"/>
      <c r="W545" s="59" t="n"/>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IF(C546="","",ROW()-2)</f>
        <v/>
      </c>
      <c r="B546" s="825" t="n"/>
      <c r="C546" s="826" t="n"/>
      <c r="D546" s="827" t="n"/>
      <c r="E546" s="828" t="n"/>
      <c r="F546" s="829" t="n"/>
      <c r="G546" s="829" t="n"/>
      <c r="H546" s="830" t="n"/>
      <c r="I546" s="37" t="n"/>
      <c r="J546" s="37" t="n"/>
      <c r="K546" s="35">
        <f>IFERROR(I546+J546,0)</f>
        <v/>
      </c>
      <c r="U546" s="59" t="n"/>
      <c r="V546" s="59" t="n"/>
      <c r="W546" s="59" t="n"/>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IF(C547="","",ROW()-2)</f>
        <v/>
      </c>
      <c r="B547" s="825" t="n"/>
      <c r="C547" s="826" t="n"/>
      <c r="D547" s="827" t="n"/>
      <c r="E547" s="828" t="n"/>
      <c r="F547" s="829" t="n"/>
      <c r="G547" s="829" t="n"/>
      <c r="H547" s="830" t="n"/>
      <c r="I547" s="37" t="n"/>
      <c r="J547" s="37" t="n"/>
      <c r="K547" s="35">
        <f>IFERROR(I547+J547,0)</f>
        <v/>
      </c>
      <c r="U547" s="59" t="n"/>
      <c r="V547" s="59" t="n"/>
      <c r="W547" s="59" t="n"/>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IF(C548="","",ROW()-2)</f>
        <v/>
      </c>
      <c r="B548" s="825" t="n"/>
      <c r="C548" s="826" t="n"/>
      <c r="D548" s="827" t="n"/>
      <c r="E548" s="828" t="n"/>
      <c r="F548" s="829" t="n"/>
      <c r="G548" s="829" t="n"/>
      <c r="H548" s="830" t="n"/>
      <c r="I548" s="37" t="n"/>
      <c r="J548" s="37" t="n"/>
      <c r="K548" s="35">
        <f>IFERROR(I548+J548,0)</f>
        <v/>
      </c>
      <c r="U548" s="59" t="n"/>
      <c r="V548" s="59" t="n"/>
      <c r="W548" s="59" t="n"/>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IF(C549="","",ROW()-2)</f>
        <v/>
      </c>
      <c r="B549" s="825" t="n"/>
      <c r="C549" s="826" t="n"/>
      <c r="D549" s="827" t="n"/>
      <c r="E549" s="828" t="n"/>
      <c r="F549" s="829" t="n"/>
      <c r="G549" s="829" t="n"/>
      <c r="H549" s="830" t="n"/>
      <c r="I549" s="37" t="n"/>
      <c r="J549" s="37" t="n"/>
      <c r="K549" s="35">
        <f>IFERROR(I549+J549,0)</f>
        <v/>
      </c>
      <c r="U549" s="59" t="n"/>
      <c r="V549" s="59" t="n"/>
      <c r="W549" s="59" t="n"/>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IF(C550="","",ROW()-2)</f>
        <v/>
      </c>
      <c r="B550" s="825" t="n"/>
      <c r="C550" s="826" t="n"/>
      <c r="D550" s="827" t="n"/>
      <c r="E550" s="828" t="n"/>
      <c r="F550" s="829" t="n"/>
      <c r="G550" s="829" t="n"/>
      <c r="H550" s="830" t="n"/>
      <c r="I550" s="37" t="n"/>
      <c r="J550" s="37" t="n"/>
      <c r="K550" s="35">
        <f>IFERROR(I550+J550,0)</f>
        <v/>
      </c>
      <c r="U550" s="59" t="n"/>
      <c r="V550" s="59" t="n"/>
      <c r="W550" s="59" t="n"/>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IF(C551="","",ROW()-2)</f>
        <v/>
      </c>
      <c r="B551" s="825" t="n"/>
      <c r="C551" s="826" t="n"/>
      <c r="D551" s="827" t="n"/>
      <c r="E551" s="828" t="n"/>
      <c r="F551" s="829" t="n"/>
      <c r="G551" s="829" t="n"/>
      <c r="H551" s="830" t="n"/>
      <c r="I551" s="37" t="n"/>
      <c r="J551" s="37" t="n"/>
      <c r="K551" s="35">
        <f>IFERROR(I551+J551,0)</f>
        <v/>
      </c>
      <c r="U551" s="59" t="n"/>
      <c r="V551" s="59" t="n"/>
      <c r="W551" s="59" t="n"/>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IF(C552="","",ROW()-2)</f>
        <v/>
      </c>
      <c r="B552" s="825" t="n"/>
      <c r="C552" s="826" t="n"/>
      <c r="D552" s="827" t="n"/>
      <c r="E552" s="828" t="n"/>
      <c r="F552" s="829" t="n"/>
      <c r="G552" s="829" t="n"/>
      <c r="H552" s="830" t="n"/>
      <c r="I552" s="37" t="n"/>
      <c r="J552" s="37" t="n"/>
      <c r="K552" s="35">
        <f>IFERROR(I552+J552,0)</f>
        <v/>
      </c>
      <c r="U552" s="59" t="n"/>
      <c r="V552" s="59" t="n"/>
      <c r="W552" s="59" t="n"/>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IF(C553="","",ROW()-2)</f>
        <v/>
      </c>
      <c r="B553" s="825" t="n"/>
      <c r="C553" s="826" t="n"/>
      <c r="D553" s="827" t="n"/>
      <c r="E553" s="828" t="n"/>
      <c r="F553" s="829" t="n"/>
      <c r="G553" s="829" t="n"/>
      <c r="H553" s="830" t="n"/>
      <c r="I553" s="37" t="n"/>
      <c r="J553" s="37" t="n"/>
      <c r="K553" s="35">
        <f>IFERROR(I553+J553,0)</f>
        <v/>
      </c>
      <c r="U553" s="59" t="n"/>
      <c r="V553" s="59" t="n"/>
      <c r="W553" s="59" t="n"/>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IF(C554="","",ROW()-2)</f>
        <v/>
      </c>
      <c r="B554" s="825" t="n"/>
      <c r="C554" s="826" t="n"/>
      <c r="D554" s="827" t="n"/>
      <c r="E554" s="828" t="n"/>
      <c r="F554" s="829" t="n"/>
      <c r="G554" s="829" t="n"/>
      <c r="H554" s="830" t="n"/>
      <c r="I554" s="37" t="n"/>
      <c r="J554" s="37" t="n"/>
      <c r="K554" s="35">
        <f>IFERROR(I554+J554,0)</f>
        <v/>
      </c>
      <c r="U554" s="59" t="n"/>
      <c r="V554" s="59" t="n"/>
      <c r="W554" s="59" t="n"/>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IF(C555="","",ROW()-2)</f>
        <v/>
      </c>
      <c r="B555" s="825" t="n"/>
      <c r="C555" s="826" t="n"/>
      <c r="D555" s="827" t="n"/>
      <c r="E555" s="828" t="n"/>
      <c r="F555" s="829" t="n"/>
      <c r="G555" s="829" t="n"/>
      <c r="H555" s="830" t="n"/>
      <c r="I555" s="37" t="n"/>
      <c r="J555" s="37" t="n"/>
      <c r="K555" s="35">
        <f>IFERROR(I555+J555,0)</f>
        <v/>
      </c>
      <c r="U555" s="59" t="n"/>
      <c r="V555" s="59" t="n"/>
      <c r="W555" s="59" t="n"/>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IF(C556="","",ROW()-2)</f>
        <v/>
      </c>
      <c r="B556" s="825" t="n"/>
      <c r="C556" s="826" t="n"/>
      <c r="D556" s="827" t="n"/>
      <c r="E556" s="828" t="n"/>
      <c r="F556" s="829" t="n"/>
      <c r="G556" s="829" t="n"/>
      <c r="H556" s="830" t="n"/>
      <c r="I556" s="37" t="n"/>
      <c r="J556" s="37" t="n"/>
      <c r="K556" s="35">
        <f>IFERROR(I556+J556,0)</f>
        <v/>
      </c>
      <c r="U556" s="59" t="n"/>
      <c r="V556" s="59" t="n"/>
      <c r="W556" s="59" t="n"/>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IF(C557="","",ROW()-2)</f>
        <v/>
      </c>
      <c r="B557" s="825" t="n"/>
      <c r="C557" s="826" t="n"/>
      <c r="D557" s="827" t="n"/>
      <c r="E557" s="828" t="n"/>
      <c r="F557" s="829" t="n"/>
      <c r="G557" s="829" t="n"/>
      <c r="H557" s="830" t="n"/>
      <c r="I557" s="37" t="n"/>
      <c r="J557" s="37" t="n"/>
      <c r="K557" s="35">
        <f>IFERROR(I557+J557,0)</f>
        <v/>
      </c>
      <c r="U557" s="59" t="n"/>
      <c r="V557" s="59" t="n"/>
      <c r="W557" s="59" t="n"/>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IF(C558="","",ROW()-2)</f>
        <v/>
      </c>
      <c r="B558" s="825" t="n"/>
      <c r="C558" s="826" t="n"/>
      <c r="D558" s="827" t="n"/>
      <c r="E558" s="828" t="n"/>
      <c r="F558" s="829" t="n"/>
      <c r="G558" s="829" t="n"/>
      <c r="H558" s="830" t="n"/>
      <c r="I558" s="37" t="n"/>
      <c r="J558" s="37" t="n"/>
      <c r="K558" s="35">
        <f>IFERROR(I558+J558,0)</f>
        <v/>
      </c>
      <c r="U558" s="59" t="n"/>
      <c r="V558" s="59" t="n"/>
      <c r="W558" s="59" t="n"/>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IF(C559="","",ROW()-2)</f>
        <v/>
      </c>
      <c r="B559" s="825" t="n"/>
      <c r="C559" s="826" t="n"/>
      <c r="D559" s="827" t="n"/>
      <c r="E559" s="828" t="n"/>
      <c r="F559" s="829" t="n"/>
      <c r="G559" s="829" t="n"/>
      <c r="H559" s="830" t="n"/>
      <c r="I559" s="37" t="n"/>
      <c r="J559" s="37" t="n"/>
      <c r="K559" s="35">
        <f>IFERROR(I559+J559,0)</f>
        <v/>
      </c>
      <c r="U559" s="59" t="n"/>
      <c r="V559" s="59" t="n"/>
      <c r="W559" s="59" t="n"/>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IF(C560="","",ROW()-2)</f>
        <v/>
      </c>
      <c r="B560" s="825" t="n"/>
      <c r="C560" s="826" t="n"/>
      <c r="D560" s="827" t="n"/>
      <c r="E560" s="828" t="n"/>
      <c r="F560" s="829" t="n"/>
      <c r="G560" s="829" t="n"/>
      <c r="H560" s="830" t="n"/>
      <c r="I560" s="37" t="n"/>
      <c r="J560" s="37" t="n"/>
      <c r="K560" s="35">
        <f>IFERROR(I560+J560,0)</f>
        <v/>
      </c>
      <c r="U560" s="59" t="n"/>
      <c r="V560" s="59" t="n"/>
      <c r="W560" s="59" t="n"/>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IF(C561="","",ROW()-2)</f>
        <v/>
      </c>
      <c r="B561" s="825" t="n"/>
      <c r="C561" s="826" t="n"/>
      <c r="D561" s="827" t="n"/>
      <c r="E561" s="828" t="n"/>
      <c r="F561" s="829" t="n"/>
      <c r="G561" s="829" t="n"/>
      <c r="H561" s="830" t="n"/>
      <c r="I561" s="37" t="n"/>
      <c r="J561" s="37" t="n"/>
      <c r="K561" s="35">
        <f>IFERROR(I561+J561,0)</f>
        <v/>
      </c>
      <c r="U561" s="59" t="n"/>
      <c r="V561" s="59" t="n"/>
      <c r="W561" s="59" t="n"/>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IF(C562="","",ROW()-2)</f>
        <v/>
      </c>
      <c r="B562" s="825" t="n"/>
      <c r="C562" s="826" t="n"/>
      <c r="D562" s="827" t="n"/>
      <c r="E562" s="828" t="n"/>
      <c r="F562" s="829" t="n"/>
      <c r="G562" s="829" t="n"/>
      <c r="H562" s="830" t="n"/>
      <c r="I562" s="37" t="n"/>
      <c r="J562" s="37" t="n"/>
      <c r="K562" s="35">
        <f>IFERROR(I562+J562,0)</f>
        <v/>
      </c>
      <c r="U562" s="59" t="n"/>
      <c r="V562" s="59" t="n"/>
      <c r="W562" s="59" t="n"/>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IF(C563="","",ROW()-2)</f>
        <v/>
      </c>
      <c r="B563" s="825" t="n"/>
      <c r="C563" s="826" t="n"/>
      <c r="D563" s="827" t="n"/>
      <c r="E563" s="828" t="n"/>
      <c r="F563" s="829" t="n"/>
      <c r="G563" s="829" t="n"/>
      <c r="H563" s="830" t="n"/>
      <c r="I563" s="37" t="n"/>
      <c r="J563" s="37" t="n"/>
      <c r="K563" s="35">
        <f>IFERROR(I563+J563,0)</f>
        <v/>
      </c>
      <c r="U563" s="59" t="n"/>
      <c r="V563" s="59" t="n"/>
      <c r="W563" s="59" t="n"/>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IF(C564="","",ROW()-2)</f>
        <v/>
      </c>
      <c r="B564" s="825" t="n"/>
      <c r="C564" s="826" t="n"/>
      <c r="D564" s="827" t="n"/>
      <c r="E564" s="828" t="n"/>
      <c r="F564" s="829" t="n"/>
      <c r="G564" s="829" t="n"/>
      <c r="H564" s="830" t="n"/>
      <c r="I564" s="37" t="n"/>
      <c r="J564" s="37" t="n"/>
      <c r="K564" s="35">
        <f>IFERROR(I564+J564,0)</f>
        <v/>
      </c>
      <c r="U564" s="59" t="n"/>
      <c r="V564" s="59" t="n"/>
      <c r="W564" s="59" t="n"/>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IF(C565="","",ROW()-2)</f>
        <v/>
      </c>
      <c r="B565" s="825" t="n"/>
      <c r="C565" s="826" t="n"/>
      <c r="D565" s="827" t="n"/>
      <c r="E565" s="828" t="n"/>
      <c r="F565" s="829" t="n"/>
      <c r="G565" s="829" t="n"/>
      <c r="H565" s="830" t="n"/>
      <c r="I565" s="37" t="n"/>
      <c r="J565" s="37" t="n"/>
      <c r="K565" s="35">
        <f>IFERROR(I565+J565,0)</f>
        <v/>
      </c>
      <c r="U565" s="59" t="n"/>
      <c r="V565" s="59" t="n"/>
      <c r="W565" s="59" t="n"/>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IF(C566="","",ROW()-2)</f>
        <v/>
      </c>
      <c r="B566" s="825" t="n"/>
      <c r="C566" s="826" t="n"/>
      <c r="D566" s="827" t="n"/>
      <c r="E566" s="828" t="n"/>
      <c r="F566" s="829" t="n"/>
      <c r="G566" s="829" t="n"/>
      <c r="H566" s="830" t="n"/>
      <c r="I566" s="37" t="n"/>
      <c r="J566" s="37" t="n"/>
      <c r="K566" s="35">
        <f>IFERROR(I566+J566,0)</f>
        <v/>
      </c>
      <c r="U566" s="59" t="n"/>
      <c r="V566" s="59" t="n"/>
      <c r="W566" s="59" t="n"/>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IF(C567="","",ROW()-2)</f>
        <v/>
      </c>
      <c r="B567" s="825" t="n"/>
      <c r="C567" s="826" t="n"/>
      <c r="D567" s="827" t="n"/>
      <c r="E567" s="828" t="n"/>
      <c r="F567" s="829" t="n"/>
      <c r="G567" s="829" t="n"/>
      <c r="H567" s="830" t="n"/>
      <c r="I567" s="37" t="n"/>
      <c r="J567" s="37" t="n"/>
      <c r="K567" s="35">
        <f>IFERROR(I567+J567,0)</f>
        <v/>
      </c>
      <c r="U567" s="59" t="n"/>
      <c r="V567" s="59" t="n"/>
      <c r="W567" s="59" t="n"/>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IF(C568="","",ROW()-2)</f>
        <v/>
      </c>
      <c r="B568" s="825" t="n"/>
      <c r="C568" s="826" t="n"/>
      <c r="D568" s="827" t="n"/>
      <c r="E568" s="828" t="n"/>
      <c r="F568" s="829" t="n"/>
      <c r="G568" s="829" t="n"/>
      <c r="H568" s="830" t="n"/>
      <c r="I568" s="37" t="n"/>
      <c r="J568" s="37" t="n"/>
      <c r="K568" s="35">
        <f>IFERROR(I568+J568,0)</f>
        <v/>
      </c>
      <c r="U568" s="59" t="n"/>
      <c r="V568" s="59" t="n"/>
      <c r="W568" s="59" t="n"/>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IF(C569="","",ROW()-2)</f>
        <v/>
      </c>
      <c r="B569" s="825" t="n"/>
      <c r="C569" s="826" t="n"/>
      <c r="D569" s="827" t="n"/>
      <c r="E569" s="828" t="n"/>
      <c r="F569" s="829" t="n"/>
      <c r="G569" s="829" t="n"/>
      <c r="H569" s="830" t="n"/>
      <c r="I569" s="37" t="n"/>
      <c r="J569" s="37" t="n"/>
      <c r="K569" s="35">
        <f>IFERROR(I569+J569,0)</f>
        <v/>
      </c>
      <c r="U569" s="59" t="n"/>
      <c r="V569" s="59" t="n"/>
      <c r="W569" s="59" t="n"/>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IF(C570="","",ROW()-2)</f>
        <v/>
      </c>
      <c r="B570" s="825" t="n"/>
      <c r="C570" s="826" t="n"/>
      <c r="D570" s="827" t="n"/>
      <c r="E570" s="828" t="n"/>
      <c r="F570" s="829" t="n"/>
      <c r="G570" s="829" t="n"/>
      <c r="H570" s="830" t="n"/>
      <c r="I570" s="37" t="n"/>
      <c r="J570" s="37" t="n"/>
      <c r="K570" s="35">
        <f>IFERROR(I570+J570,0)</f>
        <v/>
      </c>
      <c r="U570" s="59" t="n"/>
      <c r="V570" s="59" t="n"/>
      <c r="W570" s="59" t="n"/>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IF(C571="","",ROW()-2)</f>
        <v/>
      </c>
      <c r="B571" s="825" t="n"/>
      <c r="C571" s="826" t="n"/>
      <c r="D571" s="827" t="n"/>
      <c r="E571" s="828" t="n"/>
      <c r="F571" s="829" t="n"/>
      <c r="G571" s="829" t="n"/>
      <c r="H571" s="830" t="n"/>
      <c r="I571" s="37" t="n"/>
      <c r="J571" s="37" t="n"/>
      <c r="K571" s="35">
        <f>IFERROR(I571+J571,0)</f>
        <v/>
      </c>
      <c r="U571" s="59" t="n"/>
      <c r="V571" s="59" t="n"/>
      <c r="W571" s="59" t="n"/>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IF(C572="","",ROW()-2)</f>
        <v/>
      </c>
      <c r="B572" s="825" t="n"/>
      <c r="C572" s="826" t="n"/>
      <c r="D572" s="827" t="n"/>
      <c r="E572" s="828" t="n"/>
      <c r="F572" s="829" t="n"/>
      <c r="G572" s="829" t="n"/>
      <c r="H572" s="830" t="n"/>
      <c r="I572" s="37" t="n"/>
      <c r="J572" s="37" t="n"/>
      <c r="K572" s="35">
        <f>IFERROR(I572+J572,0)</f>
        <v/>
      </c>
      <c r="U572" s="59" t="n"/>
      <c r="V572" s="59" t="n"/>
      <c r="W572" s="59" t="n"/>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IF(C573="","",ROW()-2)</f>
        <v/>
      </c>
      <c r="B573" s="825" t="n"/>
      <c r="C573" s="826" t="n"/>
      <c r="D573" s="827" t="n"/>
      <c r="E573" s="828" t="n"/>
      <c r="F573" s="829" t="n"/>
      <c r="G573" s="829" t="n"/>
      <c r="H573" s="830" t="n"/>
      <c r="I573" s="37" t="n"/>
      <c r="J573" s="37" t="n"/>
      <c r="K573" s="35">
        <f>IFERROR(I573+J573,0)</f>
        <v/>
      </c>
      <c r="U573" s="59" t="n"/>
      <c r="V573" s="59" t="n"/>
      <c r="W573" s="59" t="n"/>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IF(C574="","",ROW()-2)</f>
        <v/>
      </c>
      <c r="B574" s="825" t="n"/>
      <c r="C574" s="826" t="n"/>
      <c r="D574" s="827" t="n"/>
      <c r="E574" s="828" t="n"/>
      <c r="F574" s="829" t="n"/>
      <c r="G574" s="829" t="n"/>
      <c r="H574" s="830" t="n"/>
      <c r="I574" s="37" t="n"/>
      <c r="J574" s="37" t="n"/>
      <c r="K574" s="35">
        <f>IFERROR(I574+J574,0)</f>
        <v/>
      </c>
      <c r="U574" s="59" t="n"/>
      <c r="V574" s="59" t="n"/>
      <c r="W574" s="59" t="n"/>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IF(C575="","",ROW()-2)</f>
        <v/>
      </c>
      <c r="B575" s="825" t="n"/>
      <c r="C575" s="826" t="n"/>
      <c r="D575" s="827" t="n"/>
      <c r="E575" s="828" t="n"/>
      <c r="F575" s="829" t="n"/>
      <c r="G575" s="829" t="n"/>
      <c r="H575" s="830" t="n"/>
      <c r="I575" s="37" t="n"/>
      <c r="J575" s="37" t="n"/>
      <c r="K575" s="35">
        <f>IFERROR(I575+J575,0)</f>
        <v/>
      </c>
      <c r="U575" s="59" t="n"/>
      <c r="V575" s="59" t="n"/>
      <c r="W575" s="59" t="n"/>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IF(C576="","",ROW()-2)</f>
        <v/>
      </c>
      <c r="B576" s="825" t="n"/>
      <c r="C576" s="826" t="n"/>
      <c r="D576" s="827" t="n"/>
      <c r="E576" s="828" t="n"/>
      <c r="F576" s="829" t="n"/>
      <c r="G576" s="829" t="n"/>
      <c r="H576" s="830" t="n"/>
      <c r="I576" s="37" t="n"/>
      <c r="J576" s="37" t="n"/>
      <c r="K576" s="35">
        <f>IFERROR(I576+J576,0)</f>
        <v/>
      </c>
      <c r="U576" s="59" t="n"/>
      <c r="V576" s="59" t="n"/>
      <c r="W576" s="59" t="n"/>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IF(C577="","",ROW()-2)</f>
        <v/>
      </c>
      <c r="B577" s="825" t="n"/>
      <c r="C577" s="826" t="n"/>
      <c r="D577" s="827" t="n"/>
      <c r="E577" s="828" t="n"/>
      <c r="F577" s="829" t="n"/>
      <c r="G577" s="829" t="n"/>
      <c r="H577" s="830" t="n"/>
      <c r="I577" s="37" t="n"/>
      <c r="J577" s="37" t="n"/>
      <c r="K577" s="35">
        <f>IFERROR(I577+J577,0)</f>
        <v/>
      </c>
      <c r="U577" s="59" t="n"/>
      <c r="V577" s="59" t="n"/>
      <c r="W577" s="59" t="n"/>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IF(C578="","",ROW()-2)</f>
        <v/>
      </c>
      <c r="B578" s="825" t="n"/>
      <c r="C578" s="826" t="n"/>
      <c r="D578" s="827" t="n"/>
      <c r="E578" s="828" t="n"/>
      <c r="F578" s="829" t="n"/>
      <c r="G578" s="829" t="n"/>
      <c r="H578" s="830" t="n"/>
      <c r="I578" s="37" t="n"/>
      <c r="J578" s="37" t="n"/>
      <c r="K578" s="35">
        <f>IFERROR(I578+J578,0)</f>
        <v/>
      </c>
      <c r="U578" s="59" t="n"/>
      <c r="V578" s="59" t="n"/>
      <c r="W578" s="59" t="n"/>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IF(C579="","",ROW()-2)</f>
        <v/>
      </c>
      <c r="B579" s="825" t="n"/>
      <c r="C579" s="826" t="n"/>
      <c r="D579" s="827" t="n"/>
      <c r="E579" s="828" t="n"/>
      <c r="F579" s="829" t="n"/>
      <c r="G579" s="829" t="n"/>
      <c r="H579" s="830" t="n"/>
      <c r="I579" s="37" t="n"/>
      <c r="J579" s="37" t="n"/>
      <c r="K579" s="35">
        <f>IFERROR(I579+J579,0)</f>
        <v/>
      </c>
      <c r="U579" s="59" t="n"/>
      <c r="V579" s="59" t="n"/>
      <c r="W579" s="59" t="n"/>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IF(C580="","",ROW()-2)</f>
        <v/>
      </c>
      <c r="B580" s="825" t="n"/>
      <c r="C580" s="826" t="n"/>
      <c r="D580" s="827" t="n"/>
      <c r="E580" s="828" t="n"/>
      <c r="F580" s="829" t="n"/>
      <c r="G580" s="829" t="n"/>
      <c r="H580" s="830" t="n"/>
      <c r="I580" s="37" t="n"/>
      <c r="J580" s="37" t="n"/>
      <c r="K580" s="35">
        <f>IFERROR(I580+J580,0)</f>
        <v/>
      </c>
      <c r="U580" s="59" t="n"/>
      <c r="V580" s="59" t="n"/>
      <c r="W580" s="59" t="n"/>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IF(C581="","",ROW()-2)</f>
        <v/>
      </c>
      <c r="B581" s="825" t="n"/>
      <c r="C581" s="826" t="n"/>
      <c r="D581" s="827" t="n"/>
      <c r="E581" s="828" t="n"/>
      <c r="F581" s="829" t="n"/>
      <c r="G581" s="829" t="n"/>
      <c r="H581" s="830" t="n"/>
      <c r="I581" s="37" t="n"/>
      <c r="J581" s="37" t="n"/>
      <c r="K581" s="35">
        <f>IFERROR(I581+J581,0)</f>
        <v/>
      </c>
      <c r="U581" s="59" t="n"/>
      <c r="V581" s="59" t="n"/>
      <c r="W581" s="59" t="n"/>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IF(C582="","",ROW()-2)</f>
        <v/>
      </c>
      <c r="B582" s="825" t="n"/>
      <c r="C582" s="826" t="n"/>
      <c r="D582" s="827" t="n"/>
      <c r="E582" s="828" t="n"/>
      <c r="F582" s="829" t="n"/>
      <c r="G582" s="829" t="n"/>
      <c r="H582" s="830" t="n"/>
      <c r="I582" s="37" t="n"/>
      <c r="J582" s="37" t="n"/>
      <c r="K582" s="35">
        <f>IFERROR(I582+J582,0)</f>
        <v/>
      </c>
      <c r="U582" s="59" t="n"/>
      <c r="V582" s="59" t="n"/>
      <c r="W582" s="59" t="n"/>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IF(C583="","",ROW()-2)</f>
        <v/>
      </c>
      <c r="B583" s="825" t="n"/>
      <c r="C583" s="826" t="n"/>
      <c r="D583" s="827" t="n"/>
      <c r="E583" s="828" t="n"/>
      <c r="F583" s="829" t="n"/>
      <c r="G583" s="829" t="n"/>
      <c r="H583" s="830" t="n"/>
      <c r="I583" s="37" t="n"/>
      <c r="J583" s="37" t="n"/>
      <c r="K583" s="35">
        <f>IFERROR(I583+J583,0)</f>
        <v/>
      </c>
      <c r="U583" s="59" t="n"/>
      <c r="V583" s="59" t="n"/>
      <c r="W583" s="59" t="n"/>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IF(C584="","",ROW()-2)</f>
        <v/>
      </c>
      <c r="B584" s="825" t="n"/>
      <c r="C584" s="826" t="n"/>
      <c r="D584" s="827" t="n"/>
      <c r="E584" s="828" t="n"/>
      <c r="F584" s="829" t="n"/>
      <c r="G584" s="829" t="n"/>
      <c r="H584" s="830" t="n"/>
      <c r="I584" s="37" t="n"/>
      <c r="J584" s="37" t="n"/>
      <c r="K584" s="35">
        <f>IFERROR(I584+J584,0)</f>
        <v/>
      </c>
      <c r="U584" s="59" t="n"/>
      <c r="V584" s="59" t="n"/>
      <c r="W584" s="59" t="n"/>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IF(C585="","",ROW()-2)</f>
        <v/>
      </c>
      <c r="B585" s="825" t="n"/>
      <c r="C585" s="826" t="n"/>
      <c r="D585" s="827" t="n"/>
      <c r="E585" s="828" t="n"/>
      <c r="F585" s="829" t="n"/>
      <c r="G585" s="829" t="n"/>
      <c r="H585" s="830" t="n"/>
      <c r="I585" s="37" t="n"/>
      <c r="J585" s="37" t="n"/>
      <c r="K585" s="35">
        <f>IFERROR(I585+J585,0)</f>
        <v/>
      </c>
      <c r="U585" s="59" t="n"/>
      <c r="V585" s="59" t="n"/>
      <c r="W585" s="59" t="n"/>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IF(C586="","",ROW()-2)</f>
        <v/>
      </c>
      <c r="B586" s="825" t="n"/>
      <c r="C586" s="826" t="n"/>
      <c r="D586" s="827" t="n"/>
      <c r="E586" s="828" t="n"/>
      <c r="F586" s="829" t="n"/>
      <c r="G586" s="829" t="n"/>
      <c r="H586" s="830" t="n"/>
      <c r="I586" s="37" t="n"/>
      <c r="J586" s="37" t="n"/>
      <c r="K586" s="35">
        <f>IFERROR(I586+J586,0)</f>
        <v/>
      </c>
      <c r="U586" s="59" t="n"/>
      <c r="V586" s="59" t="n"/>
      <c r="W586" s="59" t="n"/>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IF(C587="","",ROW()-2)</f>
        <v/>
      </c>
      <c r="B587" s="825" t="n"/>
      <c r="C587" s="826" t="n"/>
      <c r="D587" s="827" t="n"/>
      <c r="E587" s="828" t="n"/>
      <c r="F587" s="829" t="n"/>
      <c r="G587" s="829" t="n"/>
      <c r="H587" s="830" t="n"/>
      <c r="I587" s="37" t="n"/>
      <c r="J587" s="37" t="n"/>
      <c r="K587" s="35">
        <f>IFERROR(I587+J587,0)</f>
        <v/>
      </c>
      <c r="U587" s="59" t="n"/>
      <c r="V587" s="59" t="n"/>
      <c r="W587" s="59" t="n"/>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IF(C588="","",ROW()-2)</f>
        <v/>
      </c>
      <c r="B588" s="825" t="n"/>
      <c r="C588" s="826" t="n"/>
      <c r="D588" s="827" t="n"/>
      <c r="E588" s="828" t="n"/>
      <c r="F588" s="829" t="n"/>
      <c r="G588" s="829" t="n"/>
      <c r="H588" s="830" t="n"/>
      <c r="I588" s="37" t="n"/>
      <c r="J588" s="37" t="n"/>
      <c r="K588" s="35">
        <f>IFERROR(I588+J588,0)</f>
        <v/>
      </c>
      <c r="U588" s="59" t="n"/>
      <c r="V588" s="59" t="n"/>
      <c r="W588" s="59" t="n"/>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IF(C589="","",ROW()-2)</f>
        <v/>
      </c>
      <c r="B589" s="825" t="n"/>
      <c r="C589" s="826" t="n"/>
      <c r="D589" s="827" t="n"/>
      <c r="E589" s="828" t="n"/>
      <c r="F589" s="829" t="n"/>
      <c r="G589" s="829" t="n"/>
      <c r="H589" s="830" t="n"/>
      <c r="I589" s="37" t="n"/>
      <c r="J589" s="37" t="n"/>
      <c r="K589" s="35">
        <f>IFERROR(I589+J589,0)</f>
        <v/>
      </c>
      <c r="U589" s="59" t="n"/>
      <c r="V589" s="59" t="n"/>
      <c r="W589" s="59" t="n"/>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IF(C590="","",ROW()-2)</f>
        <v/>
      </c>
      <c r="B590" s="825" t="n"/>
      <c r="C590" s="826" t="n"/>
      <c r="D590" s="827" t="n"/>
      <c r="E590" s="828" t="n"/>
      <c r="F590" s="829" t="n"/>
      <c r="G590" s="829" t="n"/>
      <c r="H590" s="830" t="n"/>
      <c r="I590" s="37" t="n"/>
      <c r="J590" s="37" t="n"/>
      <c r="K590" s="35">
        <f>IFERROR(I590+J590,0)</f>
        <v/>
      </c>
      <c r="U590" s="59" t="n"/>
      <c r="V590" s="59" t="n"/>
      <c r="W590" s="59" t="n"/>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IF(C591="","",ROW()-2)</f>
        <v/>
      </c>
      <c r="B591" s="825" t="n"/>
      <c r="C591" s="826" t="n"/>
      <c r="D591" s="827" t="n"/>
      <c r="E591" s="828" t="n"/>
      <c r="F591" s="829" t="n"/>
      <c r="G591" s="829" t="n"/>
      <c r="H591" s="830" t="n"/>
      <c r="I591" s="37" t="n"/>
      <c r="J591" s="37" t="n"/>
      <c r="K591" s="35">
        <f>IFERROR(I591+J591,0)</f>
        <v/>
      </c>
      <c r="U591" s="59" t="n"/>
      <c r="V591" s="59" t="n"/>
      <c r="W591" s="59" t="n"/>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IF(C592="","",ROW()-2)</f>
        <v/>
      </c>
      <c r="B592" s="825" t="n"/>
      <c r="C592" s="826" t="n"/>
      <c r="D592" s="827" t="n"/>
      <c r="E592" s="828" t="n"/>
      <c r="F592" s="829" t="n"/>
      <c r="G592" s="829" t="n"/>
      <c r="H592" s="830" t="n"/>
      <c r="I592" s="37" t="n"/>
      <c r="J592" s="37" t="n"/>
      <c r="K592" s="35">
        <f>IFERROR(I592+J592,0)</f>
        <v/>
      </c>
      <c r="U592" s="59" t="n"/>
      <c r="V592" s="59" t="n"/>
      <c r="W592" s="59" t="n"/>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IF(C593="","",ROW()-2)</f>
        <v/>
      </c>
      <c r="B593" s="825" t="n"/>
      <c r="C593" s="826" t="n"/>
      <c r="D593" s="827" t="n"/>
      <c r="E593" s="828" t="n"/>
      <c r="F593" s="829" t="n"/>
      <c r="G593" s="829" t="n"/>
      <c r="H593" s="830" t="n"/>
      <c r="I593" s="37" t="n"/>
      <c r="J593" s="37" t="n"/>
      <c r="K593" s="35">
        <f>IFERROR(I593+J593,0)</f>
        <v/>
      </c>
      <c r="U593" s="59" t="n"/>
      <c r="V593" s="59" t="n"/>
      <c r="W593" s="59" t="n"/>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IF(C594="","",ROW()-2)</f>
        <v/>
      </c>
      <c r="B594" s="825" t="n"/>
      <c r="C594" s="826" t="n"/>
      <c r="D594" s="827" t="n"/>
      <c r="E594" s="828" t="n"/>
      <c r="F594" s="829" t="n"/>
      <c r="G594" s="829" t="n"/>
      <c r="H594" s="830" t="n"/>
      <c r="I594" s="37" t="n"/>
      <c r="J594" s="37" t="n"/>
      <c r="K594" s="35">
        <f>IFERROR(I594+J594,0)</f>
        <v/>
      </c>
      <c r="U594" s="59" t="n"/>
      <c r="V594" s="59" t="n"/>
      <c r="W594" s="59" t="n"/>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IF(C595="","",ROW()-2)</f>
        <v/>
      </c>
      <c r="B595" s="825" t="n"/>
      <c r="C595" s="826" t="n"/>
      <c r="D595" s="827" t="n"/>
      <c r="E595" s="828" t="n"/>
      <c r="F595" s="829" t="n"/>
      <c r="G595" s="829" t="n"/>
      <c r="H595" s="830" t="n"/>
      <c r="I595" s="37" t="n"/>
      <c r="J595" s="37" t="n"/>
      <c r="K595" s="35">
        <f>IFERROR(I595+J595,0)</f>
        <v/>
      </c>
      <c r="U595" s="59" t="n"/>
      <c r="V595" s="59" t="n"/>
      <c r="W595" s="59" t="n"/>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IF(C596="","",ROW()-2)</f>
        <v/>
      </c>
      <c r="B596" s="825" t="n"/>
      <c r="C596" s="826" t="n"/>
      <c r="D596" s="827" t="n"/>
      <c r="E596" s="828" t="n"/>
      <c r="F596" s="829" t="n"/>
      <c r="G596" s="829" t="n"/>
      <c r="H596" s="830" t="n"/>
      <c r="I596" s="37" t="n"/>
      <c r="J596" s="37" t="n"/>
      <c r="K596" s="35">
        <f>IFERROR(I596+J596,0)</f>
        <v/>
      </c>
      <c r="U596" s="59" t="n"/>
      <c r="V596" s="59" t="n"/>
      <c r="W596" s="59" t="n"/>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IF(C597="","",ROW()-2)</f>
        <v/>
      </c>
      <c r="B597" s="825" t="n"/>
      <c r="C597" s="826" t="n"/>
      <c r="D597" s="827" t="n"/>
      <c r="E597" s="828" t="n"/>
      <c r="F597" s="829" t="n"/>
      <c r="G597" s="829" t="n"/>
      <c r="H597" s="830" t="n"/>
      <c r="I597" s="37" t="n"/>
      <c r="J597" s="37" t="n"/>
      <c r="K597" s="35">
        <f>IFERROR(I597+J597,0)</f>
        <v/>
      </c>
      <c r="U597" s="59" t="n"/>
      <c r="V597" s="59" t="n"/>
      <c r="W597" s="59" t="n"/>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IF(C598="","",ROW()-2)</f>
        <v/>
      </c>
      <c r="B598" s="825" t="n"/>
      <c r="C598" s="826" t="n"/>
      <c r="D598" s="827" t="n"/>
      <c r="E598" s="828" t="n"/>
      <c r="F598" s="829" t="n"/>
      <c r="G598" s="829" t="n"/>
      <c r="H598" s="830" t="n"/>
      <c r="I598" s="37" t="n"/>
      <c r="J598" s="37" t="n"/>
      <c r="K598" s="35">
        <f>IFERROR(I598+J598,0)</f>
        <v/>
      </c>
      <c r="U598" s="59" t="n"/>
      <c r="V598" s="59" t="n"/>
      <c r="W598" s="59" t="n"/>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IF(C599="","",ROW()-2)</f>
        <v/>
      </c>
      <c r="B599" s="825" t="n"/>
      <c r="C599" s="826" t="n"/>
      <c r="D599" s="827" t="n"/>
      <c r="E599" s="828" t="n"/>
      <c r="F599" s="829" t="n"/>
      <c r="G599" s="829" t="n"/>
      <c r="H599" s="830" t="n"/>
      <c r="I599" s="37" t="n"/>
      <c r="J599" s="37" t="n"/>
      <c r="K599" s="35">
        <f>IFERROR(I599+J599,0)</f>
        <v/>
      </c>
      <c r="U599" s="59" t="n"/>
      <c r="V599" s="59" t="n"/>
      <c r="W599" s="59" t="n"/>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IF(C600="","",ROW()-2)</f>
        <v/>
      </c>
      <c r="B600" s="825" t="n"/>
      <c r="C600" s="826" t="n"/>
      <c r="D600" s="827" t="n"/>
      <c r="E600" s="828" t="n"/>
      <c r="F600" s="829" t="n"/>
      <c r="G600" s="829" t="n"/>
      <c r="H600" s="830" t="n"/>
      <c r="I600" s="37" t="n"/>
      <c r="J600" s="37" t="n"/>
      <c r="K600" s="35">
        <f>IFERROR(I600+J600,0)</f>
        <v/>
      </c>
      <c r="U600" s="59" t="n"/>
      <c r="V600" s="59" t="n"/>
      <c r="W600" s="59" t="n"/>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IF(C601="","",ROW()-2)</f>
        <v/>
      </c>
      <c r="B601" s="825" t="n"/>
      <c r="C601" s="826" t="n"/>
      <c r="D601" s="827" t="n"/>
      <c r="E601" s="828" t="n"/>
      <c r="F601" s="829" t="n"/>
      <c r="G601" s="829" t="n"/>
      <c r="H601" s="830" t="n"/>
      <c r="I601" s="37" t="n"/>
      <c r="J601" s="37" t="n"/>
      <c r="K601" s="35">
        <f>IFERROR(I601+J601,0)</f>
        <v/>
      </c>
      <c r="U601" s="59" t="n"/>
      <c r="V601" s="59" t="n"/>
      <c r="W601" s="59" t="n"/>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IF(C602="","",ROW()-2)</f>
        <v/>
      </c>
      <c r="B602" s="825" t="n"/>
      <c r="C602" s="826" t="n"/>
      <c r="D602" s="827" t="n"/>
      <c r="E602" s="828" t="n"/>
      <c r="F602" s="829" t="n"/>
      <c r="G602" s="829" t="n"/>
      <c r="H602" s="830" t="n"/>
      <c r="I602" s="37" t="n"/>
      <c r="J602" s="37" t="n"/>
      <c r="K602" s="35">
        <f>IFERROR(I602+J602,0)</f>
        <v/>
      </c>
      <c r="U602" s="59" t="n"/>
      <c r="V602" s="59" t="n"/>
      <c r="W602" s="59" t="n"/>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IF(C603="","",ROW()-2)</f>
        <v/>
      </c>
      <c r="B603" s="825" t="n"/>
      <c r="C603" s="826" t="n"/>
      <c r="D603" s="827" t="n"/>
      <c r="E603" s="828" t="n"/>
      <c r="F603" s="829" t="n"/>
      <c r="G603" s="829" t="n"/>
      <c r="H603" s="830" t="n"/>
      <c r="I603" s="37" t="n"/>
      <c r="J603" s="37" t="n"/>
      <c r="K603" s="35">
        <f>IFERROR(I603+J603,0)</f>
        <v/>
      </c>
      <c r="U603" s="59" t="n"/>
      <c r="V603" s="59" t="n"/>
      <c r="W603" s="59" t="n"/>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IF(C604="","",ROW()-2)</f>
        <v/>
      </c>
      <c r="B604" s="825" t="n"/>
      <c r="C604" s="826" t="n"/>
      <c r="D604" s="827" t="n"/>
      <c r="E604" s="828" t="n"/>
      <c r="F604" s="829" t="n"/>
      <c r="G604" s="829" t="n"/>
      <c r="H604" s="830" t="n"/>
      <c r="I604" s="37" t="n"/>
      <c r="J604" s="37" t="n"/>
      <c r="K604" s="35">
        <f>IFERROR(I604+J604,0)</f>
        <v/>
      </c>
      <c r="U604" s="59" t="n"/>
      <c r="V604" s="59" t="n"/>
      <c r="W604" s="59" t="n"/>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IF(C605="","",ROW()-2)</f>
        <v/>
      </c>
      <c r="B605" s="825" t="n"/>
      <c r="C605" s="826" t="n"/>
      <c r="D605" s="827" t="n"/>
      <c r="E605" s="828" t="n"/>
      <c r="F605" s="829" t="n"/>
      <c r="G605" s="829" t="n"/>
      <c r="H605" s="830" t="n"/>
      <c r="I605" s="37" t="n"/>
      <c r="J605" s="37" t="n"/>
      <c r="K605" s="35">
        <f>IFERROR(I605+J605,0)</f>
        <v/>
      </c>
      <c r="U605" s="59" t="n"/>
      <c r="V605" s="59" t="n"/>
      <c r="W605" s="59" t="n"/>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IF(C606="","",ROW()-2)</f>
        <v/>
      </c>
      <c r="B606" s="825" t="n"/>
      <c r="C606" s="826" t="n"/>
      <c r="D606" s="827" t="n"/>
      <c r="E606" s="828" t="n"/>
      <c r="F606" s="829" t="n"/>
      <c r="G606" s="829" t="n"/>
      <c r="H606" s="830" t="n"/>
      <c r="I606" s="37" t="n"/>
      <c r="J606" s="37" t="n"/>
      <c r="K606" s="35">
        <f>IFERROR(I606+J606,0)</f>
        <v/>
      </c>
      <c r="U606" s="59" t="n"/>
      <c r="V606" s="59" t="n"/>
      <c r="W606" s="59" t="n"/>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IF(C607="","",ROW()-2)</f>
        <v/>
      </c>
      <c r="B607" s="825" t="n"/>
      <c r="C607" s="826" t="n"/>
      <c r="D607" s="827" t="n"/>
      <c r="E607" s="828" t="n"/>
      <c r="F607" s="829" t="n"/>
      <c r="G607" s="829" t="n"/>
      <c r="H607" s="830" t="n"/>
      <c r="I607" s="37" t="n"/>
      <c r="J607" s="37" t="n"/>
      <c r="K607" s="35">
        <f>IFERROR(I607+J607,0)</f>
        <v/>
      </c>
      <c r="U607" s="59" t="n"/>
      <c r="V607" s="59" t="n"/>
      <c r="W607" s="59" t="n"/>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IF(C608="","",ROW()-2)</f>
        <v/>
      </c>
      <c r="B608" s="825" t="n"/>
      <c r="C608" s="826" t="n"/>
      <c r="D608" s="827" t="n"/>
      <c r="E608" s="828" t="n"/>
      <c r="F608" s="829" t="n"/>
      <c r="G608" s="829" t="n"/>
      <c r="H608" s="830" t="n"/>
      <c r="I608" s="37" t="n"/>
      <c r="J608" s="37" t="n"/>
      <c r="K608" s="35">
        <f>IFERROR(I608+J608,0)</f>
        <v/>
      </c>
      <c r="U608" s="59" t="n"/>
      <c r="V608" s="59" t="n"/>
      <c r="W608" s="59" t="n"/>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IF(C609="","",ROW()-2)</f>
        <v/>
      </c>
      <c r="B609" s="825" t="n"/>
      <c r="C609" s="826" t="n"/>
      <c r="D609" s="827" t="n"/>
      <c r="E609" s="828" t="n"/>
      <c r="F609" s="829" t="n"/>
      <c r="G609" s="829" t="n"/>
      <c r="H609" s="830" t="n"/>
      <c r="I609" s="37" t="n"/>
      <c r="J609" s="37" t="n"/>
      <c r="K609" s="35">
        <f>IFERROR(I609+J609,0)</f>
        <v/>
      </c>
      <c r="U609" s="59" t="n"/>
      <c r="V609" s="59" t="n"/>
      <c r="W609" s="59" t="n"/>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IF(C610="","",ROW()-2)</f>
        <v/>
      </c>
      <c r="B610" s="825" t="n"/>
      <c r="C610" s="826" t="n"/>
      <c r="D610" s="827" t="n"/>
      <c r="E610" s="828" t="n"/>
      <c r="F610" s="829" t="n"/>
      <c r="G610" s="829" t="n"/>
      <c r="H610" s="830" t="n"/>
      <c r="I610" s="37" t="n"/>
      <c r="J610" s="37" t="n"/>
      <c r="K610" s="35">
        <f>IFERROR(I610+J610,0)</f>
        <v/>
      </c>
      <c r="U610" s="59" t="n"/>
      <c r="V610" s="59" t="n"/>
      <c r="W610" s="59" t="n"/>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IF(C611="","",ROW()-2)</f>
        <v/>
      </c>
      <c r="B611" s="825" t="n"/>
      <c r="C611" s="826" t="n"/>
      <c r="D611" s="827" t="n"/>
      <c r="E611" s="828" t="n"/>
      <c r="F611" s="829" t="n"/>
      <c r="G611" s="829" t="n"/>
      <c r="H611" s="830" t="n"/>
      <c r="I611" s="37" t="n"/>
      <c r="J611" s="37" t="n"/>
      <c r="K611" s="35">
        <f>IFERROR(I611+J611,0)</f>
        <v/>
      </c>
      <c r="U611" s="59" t="n"/>
      <c r="V611" s="59" t="n"/>
      <c r="W611" s="59" t="n"/>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IF(C612="","",ROW()-2)</f>
        <v/>
      </c>
      <c r="B612" s="825" t="n"/>
      <c r="C612" s="826" t="n"/>
      <c r="D612" s="827" t="n"/>
      <c r="E612" s="828" t="n"/>
      <c r="F612" s="829" t="n"/>
      <c r="G612" s="829" t="n"/>
      <c r="H612" s="830" t="n"/>
      <c r="I612" s="37" t="n"/>
      <c r="J612" s="37" t="n"/>
      <c r="K612" s="35">
        <f>IFERROR(I612+J612,0)</f>
        <v/>
      </c>
      <c r="U612" s="59" t="n"/>
      <c r="V612" s="59" t="n"/>
      <c r="W612" s="59" t="n"/>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IF(C613="","",ROW()-2)</f>
        <v/>
      </c>
      <c r="B613" s="825" t="n"/>
      <c r="C613" s="826" t="n"/>
      <c r="D613" s="827" t="n"/>
      <c r="E613" s="828" t="n"/>
      <c r="F613" s="829" t="n"/>
      <c r="G613" s="829" t="n"/>
      <c r="H613" s="830" t="n"/>
      <c r="I613" s="37" t="n"/>
      <c r="J613" s="37" t="n"/>
      <c r="K613" s="35">
        <f>IFERROR(I613+J613,0)</f>
        <v/>
      </c>
      <c r="U613" s="59" t="n"/>
      <c r="V613" s="59" t="n"/>
      <c r="W613" s="59" t="n"/>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IF(C614="","",ROW()-2)</f>
        <v/>
      </c>
      <c r="B614" s="825" t="n"/>
      <c r="C614" s="826" t="n"/>
      <c r="D614" s="827" t="n"/>
      <c r="E614" s="828" t="n"/>
      <c r="F614" s="829" t="n"/>
      <c r="G614" s="829" t="n"/>
      <c r="H614" s="830" t="n"/>
      <c r="I614" s="37" t="n"/>
      <c r="J614" s="37" t="n"/>
      <c r="K614" s="35">
        <f>IFERROR(I614+J614,0)</f>
        <v/>
      </c>
      <c r="U614" s="59" t="n"/>
      <c r="V614" s="59" t="n"/>
      <c r="W614" s="59" t="n"/>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IF(C615="","",ROW()-2)</f>
        <v/>
      </c>
      <c r="B615" s="825" t="n"/>
      <c r="C615" s="826" t="n"/>
      <c r="D615" s="827" t="n"/>
      <c r="E615" s="828" t="n"/>
      <c r="F615" s="829" t="n"/>
      <c r="G615" s="829" t="n"/>
      <c r="H615" s="830" t="n"/>
      <c r="I615" s="37" t="n"/>
      <c r="J615" s="37" t="n"/>
      <c r="K615" s="35">
        <f>IFERROR(I615+J615,0)</f>
        <v/>
      </c>
      <c r="U615" s="59" t="n"/>
      <c r="V615" s="59" t="n"/>
      <c r="W615" s="59" t="n"/>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IF(C616="","",ROW()-2)</f>
        <v/>
      </c>
      <c r="B616" s="825" t="n"/>
      <c r="C616" s="826" t="n"/>
      <c r="D616" s="827" t="n"/>
      <c r="E616" s="828" t="n"/>
      <c r="F616" s="829" t="n"/>
      <c r="G616" s="829" t="n"/>
      <c r="H616" s="830" t="n"/>
      <c r="I616" s="37" t="n"/>
      <c r="J616" s="37" t="n"/>
      <c r="K616" s="35">
        <f>IFERROR(I616+J616,0)</f>
        <v/>
      </c>
      <c r="U616" s="59" t="n"/>
      <c r="V616" s="59" t="n"/>
      <c r="W616" s="59" t="n"/>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IF(C617="","",ROW()-2)</f>
        <v/>
      </c>
      <c r="B617" s="825" t="n"/>
      <c r="C617" s="826" t="n"/>
      <c r="D617" s="827" t="n"/>
      <c r="E617" s="828" t="n"/>
      <c r="F617" s="829" t="n"/>
      <c r="G617" s="829" t="n"/>
      <c r="H617" s="830" t="n"/>
      <c r="I617" s="37" t="n"/>
      <c r="J617" s="37" t="n"/>
      <c r="K617" s="35">
        <f>IFERROR(I617+J617,0)</f>
        <v/>
      </c>
      <c r="U617" s="59" t="n"/>
      <c r="V617" s="59" t="n"/>
      <c r="W617" s="59" t="n"/>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IF(C618="","",ROW()-2)</f>
        <v/>
      </c>
      <c r="B618" s="825" t="n"/>
      <c r="C618" s="826" t="n"/>
      <c r="D618" s="827" t="n"/>
      <c r="E618" s="828" t="n"/>
      <c r="F618" s="829" t="n"/>
      <c r="G618" s="829" t="n"/>
      <c r="H618" s="830" t="n"/>
      <c r="I618" s="37" t="n"/>
      <c r="J618" s="37" t="n"/>
      <c r="K618" s="35">
        <f>IFERROR(I618+J618,0)</f>
        <v/>
      </c>
      <c r="U618" s="59" t="n"/>
      <c r="V618" s="59" t="n"/>
      <c r="W618" s="59" t="n"/>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IF(C619="","",ROW()-2)</f>
        <v/>
      </c>
      <c r="B619" s="825" t="n"/>
      <c r="C619" s="826" t="n"/>
      <c r="D619" s="827" t="n"/>
      <c r="E619" s="828" t="n"/>
      <c r="F619" s="829" t="n"/>
      <c r="G619" s="829" t="n"/>
      <c r="H619" s="830" t="n"/>
      <c r="I619" s="37" t="n"/>
      <c r="J619" s="37" t="n"/>
      <c r="K619" s="35">
        <f>IFERROR(I619+J619,0)</f>
        <v/>
      </c>
      <c r="U619" s="59" t="n"/>
      <c r="V619" s="59" t="n"/>
      <c r="W619" s="59" t="n"/>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IF(C620="","",ROW()-2)</f>
        <v/>
      </c>
      <c r="B620" s="825" t="n"/>
      <c r="C620" s="826" t="n"/>
      <c r="D620" s="827" t="n"/>
      <c r="E620" s="828" t="n"/>
      <c r="F620" s="829" t="n"/>
      <c r="G620" s="829" t="n"/>
      <c r="H620" s="830" t="n"/>
      <c r="I620" s="37" t="n"/>
      <c r="J620" s="37" t="n"/>
      <c r="K620" s="35">
        <f>IFERROR(I620+J620,0)</f>
        <v/>
      </c>
      <c r="U620" s="59" t="n"/>
      <c r="V620" s="59" t="n"/>
      <c r="W620" s="59" t="n"/>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IF(C621="","",ROW()-2)</f>
        <v/>
      </c>
      <c r="B621" s="825" t="n"/>
      <c r="C621" s="826" t="n"/>
      <c r="D621" s="827" t="n"/>
      <c r="E621" s="828" t="n"/>
      <c r="F621" s="829" t="n"/>
      <c r="G621" s="829" t="n"/>
      <c r="H621" s="830" t="n"/>
      <c r="I621" s="37" t="n"/>
      <c r="J621" s="37" t="n"/>
      <c r="K621" s="35">
        <f>IFERROR(I621+J621,0)</f>
        <v/>
      </c>
      <c r="U621" s="59" t="n"/>
      <c r="V621" s="59" t="n"/>
      <c r="W621" s="59" t="n"/>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IF(C622="","",ROW()-2)</f>
        <v/>
      </c>
      <c r="B622" s="825" t="n"/>
      <c r="C622" s="826" t="n"/>
      <c r="D622" s="827" t="n"/>
      <c r="E622" s="828" t="n"/>
      <c r="F622" s="829" t="n"/>
      <c r="G622" s="829" t="n"/>
      <c r="H622" s="830" t="n"/>
      <c r="I622" s="37" t="n"/>
      <c r="J622" s="37" t="n"/>
      <c r="K622" s="35">
        <f>IFERROR(I622+J622,0)</f>
        <v/>
      </c>
      <c r="U622" s="59" t="n"/>
      <c r="V622" s="59" t="n"/>
      <c r="W622" s="59" t="n"/>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IF(C623="","",ROW()-2)</f>
        <v/>
      </c>
      <c r="B623" s="825" t="n"/>
      <c r="C623" s="826" t="n"/>
      <c r="D623" s="827" t="n"/>
      <c r="E623" s="828" t="n"/>
      <c r="F623" s="829" t="n"/>
      <c r="G623" s="829" t="n"/>
      <c r="H623" s="830" t="n"/>
      <c r="I623" s="37" t="n"/>
      <c r="J623" s="37" t="n"/>
      <c r="K623" s="35">
        <f>IFERROR(I623+J623,0)</f>
        <v/>
      </c>
      <c r="U623" s="59" t="n"/>
      <c r="V623" s="59" t="n"/>
      <c r="W623" s="59" t="n"/>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IF(C624="","",ROW()-2)</f>
        <v/>
      </c>
      <c r="B624" s="825" t="n"/>
      <c r="C624" s="826" t="n"/>
      <c r="D624" s="827" t="n"/>
      <c r="E624" s="828" t="n"/>
      <c r="F624" s="829" t="n"/>
      <c r="G624" s="829" t="n"/>
      <c r="H624" s="830" t="n"/>
      <c r="I624" s="37" t="n"/>
      <c r="J624" s="37" t="n"/>
      <c r="K624" s="35">
        <f>IFERROR(I624+J624,0)</f>
        <v/>
      </c>
      <c r="U624" s="59" t="n"/>
      <c r="V624" s="59" t="n"/>
      <c r="W624" s="59" t="n"/>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IF(C625="","",ROW()-2)</f>
        <v/>
      </c>
      <c r="B625" s="825" t="n"/>
      <c r="C625" s="826" t="n"/>
      <c r="D625" s="827" t="n"/>
      <c r="E625" s="828" t="n"/>
      <c r="F625" s="829" t="n"/>
      <c r="G625" s="829" t="n"/>
      <c r="H625" s="830" t="n"/>
      <c r="I625" s="37" t="n"/>
      <c r="J625" s="37" t="n"/>
      <c r="K625" s="35">
        <f>IFERROR(I625+J625,0)</f>
        <v/>
      </c>
      <c r="U625" s="59" t="n"/>
      <c r="V625" s="59" t="n"/>
      <c r="W625" s="59" t="n"/>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IF(C626="","",ROW()-2)</f>
        <v/>
      </c>
      <c r="B626" s="825" t="n"/>
      <c r="C626" s="826" t="n"/>
      <c r="D626" s="827" t="n"/>
      <c r="E626" s="828" t="n"/>
      <c r="F626" s="829" t="n"/>
      <c r="G626" s="829" t="n"/>
      <c r="H626" s="830" t="n"/>
      <c r="I626" s="37" t="n"/>
      <c r="J626" s="37" t="n"/>
      <c r="K626" s="35">
        <f>IFERROR(I626+J626,0)</f>
        <v/>
      </c>
      <c r="U626" s="59" t="n"/>
      <c r="V626" s="59" t="n"/>
      <c r="W626" s="59" t="n"/>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IF(C627="","",ROW()-2)</f>
        <v/>
      </c>
      <c r="B627" s="825" t="n"/>
      <c r="C627" s="826" t="n"/>
      <c r="D627" s="827" t="n"/>
      <c r="E627" s="828" t="n"/>
      <c r="F627" s="829" t="n"/>
      <c r="G627" s="829" t="n"/>
      <c r="H627" s="830" t="n"/>
      <c r="I627" s="37" t="n"/>
      <c r="J627" s="37" t="n"/>
      <c r="K627" s="35">
        <f>IFERROR(I627+J627,0)</f>
        <v/>
      </c>
      <c r="U627" s="59" t="n"/>
      <c r="V627" s="59" t="n"/>
      <c r="W627" s="59" t="n"/>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IF(C628="","",ROW()-2)</f>
        <v/>
      </c>
      <c r="B628" s="825" t="n"/>
      <c r="C628" s="826" t="n"/>
      <c r="D628" s="827" t="n"/>
      <c r="E628" s="828" t="n"/>
      <c r="F628" s="829" t="n"/>
      <c r="G628" s="829" t="n"/>
      <c r="H628" s="830" t="n"/>
      <c r="I628" s="37" t="n"/>
      <c r="J628" s="37" t="n"/>
      <c r="K628" s="35">
        <f>IFERROR(I628+J628,0)</f>
        <v/>
      </c>
      <c r="U628" s="59" t="n"/>
      <c r="V628" s="59" t="n"/>
      <c r="W628" s="59" t="n"/>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IF(C629="","",ROW()-2)</f>
        <v/>
      </c>
      <c r="B629" s="825" t="n"/>
      <c r="C629" s="826" t="n"/>
      <c r="D629" s="827" t="n"/>
      <c r="E629" s="828" t="n"/>
      <c r="F629" s="829" t="n"/>
      <c r="G629" s="829" t="n"/>
      <c r="H629" s="830" t="n"/>
      <c r="I629" s="37" t="n"/>
      <c r="J629" s="37" t="n"/>
      <c r="K629" s="35">
        <f>IFERROR(I629+J629,0)</f>
        <v/>
      </c>
      <c r="U629" s="59" t="n"/>
      <c r="V629" s="59" t="n"/>
      <c r="W629" s="59" t="n"/>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IF(C630="","",ROW()-2)</f>
        <v/>
      </c>
      <c r="B630" s="825" t="n"/>
      <c r="C630" s="826" t="n"/>
      <c r="D630" s="827" t="n"/>
      <c r="E630" s="828" t="n"/>
      <c r="F630" s="829" t="n"/>
      <c r="G630" s="829" t="n"/>
      <c r="H630" s="830" t="n"/>
      <c r="I630" s="37" t="n"/>
      <c r="J630" s="37" t="n"/>
      <c r="K630" s="35">
        <f>IFERROR(I630+J630,0)</f>
        <v/>
      </c>
      <c r="U630" s="59" t="n"/>
      <c r="V630" s="59" t="n"/>
      <c r="W630" s="59" t="n"/>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IF(C631="","",ROW()-2)</f>
        <v/>
      </c>
      <c r="B631" s="825" t="n"/>
      <c r="C631" s="826" t="n"/>
      <c r="D631" s="827" t="n"/>
      <c r="E631" s="828" t="n"/>
      <c r="F631" s="829" t="n"/>
      <c r="G631" s="829" t="n"/>
      <c r="H631" s="830" t="n"/>
      <c r="I631" s="37" t="n"/>
      <c r="J631" s="37" t="n"/>
      <c r="K631" s="35">
        <f>IFERROR(I631+J631,0)</f>
        <v/>
      </c>
      <c r="U631" s="59" t="n"/>
      <c r="V631" s="59" t="n"/>
      <c r="W631" s="59" t="n"/>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IF(C632="","",ROW()-2)</f>
        <v/>
      </c>
      <c r="B632" s="825" t="n"/>
      <c r="C632" s="826" t="n"/>
      <c r="D632" s="827" t="n"/>
      <c r="E632" s="828" t="n"/>
      <c r="F632" s="829" t="n"/>
      <c r="G632" s="829" t="n"/>
      <c r="H632" s="830" t="n"/>
      <c r="I632" s="37" t="n"/>
      <c r="J632" s="37" t="n"/>
      <c r="K632" s="35">
        <f>IFERROR(I632+J632,0)</f>
        <v/>
      </c>
      <c r="U632" s="59" t="n"/>
      <c r="V632" s="59" t="n"/>
      <c r="W632" s="59" t="n"/>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IF(C633="","",ROW()-2)</f>
        <v/>
      </c>
      <c r="B633" s="825" t="n"/>
      <c r="C633" s="826" t="n"/>
      <c r="D633" s="827" t="n"/>
      <c r="E633" s="828" t="n"/>
      <c r="F633" s="829" t="n"/>
      <c r="G633" s="829" t="n"/>
      <c r="H633" s="830" t="n"/>
      <c r="I633" s="37" t="n"/>
      <c r="J633" s="37" t="n"/>
      <c r="K633" s="35">
        <f>IFERROR(I633+J633,0)</f>
        <v/>
      </c>
      <c r="U633" s="59" t="n"/>
      <c r="V633" s="59" t="n"/>
      <c r="W633" s="59" t="n"/>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IF(C634="","",ROW()-2)</f>
        <v/>
      </c>
      <c r="B634" s="825" t="n"/>
      <c r="C634" s="826" t="n"/>
      <c r="D634" s="827" t="n"/>
      <c r="E634" s="828" t="n"/>
      <c r="F634" s="829" t="n"/>
      <c r="G634" s="829" t="n"/>
      <c r="H634" s="830" t="n"/>
      <c r="I634" s="37" t="n"/>
      <c r="J634" s="37" t="n"/>
      <c r="K634" s="35">
        <f>IFERROR(I634+J634,0)</f>
        <v/>
      </c>
      <c r="U634" s="59" t="n"/>
      <c r="V634" s="59" t="n"/>
      <c r="W634" s="59" t="n"/>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IF(C635="","",ROW()-2)</f>
        <v/>
      </c>
      <c r="B635" s="825" t="n"/>
      <c r="C635" s="826" t="n"/>
      <c r="D635" s="827" t="n"/>
      <c r="E635" s="828" t="n"/>
      <c r="F635" s="829" t="n"/>
      <c r="G635" s="829" t="n"/>
      <c r="H635" s="830" t="n"/>
      <c r="I635" s="37" t="n"/>
      <c r="J635" s="37" t="n"/>
      <c r="K635" s="35">
        <f>IFERROR(I635+J635,0)</f>
        <v/>
      </c>
      <c r="U635" s="59" t="n"/>
      <c r="V635" s="59" t="n"/>
      <c r="W635" s="59" t="n"/>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IF(C636="","",ROW()-2)</f>
        <v/>
      </c>
      <c r="B636" s="825" t="n"/>
      <c r="C636" s="826" t="n"/>
      <c r="D636" s="827" t="n"/>
      <c r="E636" s="828" t="n"/>
      <c r="F636" s="829" t="n"/>
      <c r="G636" s="829" t="n"/>
      <c r="H636" s="830" t="n"/>
      <c r="I636" s="37" t="n"/>
      <c r="J636" s="37" t="n"/>
      <c r="K636" s="35">
        <f>IFERROR(I636+J636,0)</f>
        <v/>
      </c>
      <c r="U636" s="59" t="n"/>
      <c r="V636" s="59" t="n"/>
      <c r="W636" s="59" t="n"/>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IF(C637="","",ROW()-2)</f>
        <v/>
      </c>
      <c r="B637" s="825" t="n"/>
      <c r="C637" s="826" t="n"/>
      <c r="D637" s="827" t="n"/>
      <c r="E637" s="828" t="n"/>
      <c r="F637" s="829" t="n"/>
      <c r="G637" s="829" t="n"/>
      <c r="H637" s="830" t="n"/>
      <c r="I637" s="37" t="n"/>
      <c r="J637" s="37" t="n"/>
      <c r="K637" s="35">
        <f>IFERROR(I637+J637,0)</f>
        <v/>
      </c>
      <c r="U637" s="59" t="n"/>
      <c r="V637" s="59" t="n"/>
      <c r="W637" s="59" t="n"/>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IF(C638="","",ROW()-2)</f>
        <v/>
      </c>
      <c r="B638" s="825" t="n"/>
      <c r="C638" s="826" t="n"/>
      <c r="D638" s="827" t="n"/>
      <c r="E638" s="828" t="n"/>
      <c r="F638" s="829" t="n"/>
      <c r="G638" s="829" t="n"/>
      <c r="H638" s="830" t="n"/>
      <c r="I638" s="37" t="n"/>
      <c r="J638" s="37" t="n"/>
      <c r="K638" s="35">
        <f>IFERROR(I638+J638,0)</f>
        <v/>
      </c>
      <c r="U638" s="59" t="n"/>
      <c r="V638" s="59" t="n"/>
      <c r="W638" s="59" t="n"/>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IF(C639="","",ROW()-2)</f>
        <v/>
      </c>
      <c r="B639" s="825" t="n"/>
      <c r="C639" s="826" t="n"/>
      <c r="D639" s="827" t="n"/>
      <c r="E639" s="828" t="n"/>
      <c r="F639" s="829" t="n"/>
      <c r="G639" s="829" t="n"/>
      <c r="H639" s="830" t="n"/>
      <c r="I639" s="37" t="n"/>
      <c r="J639" s="37" t="n"/>
      <c r="K639" s="35">
        <f>IFERROR(I639+J639,0)</f>
        <v/>
      </c>
      <c r="U639" s="59" t="n"/>
      <c r="V639" s="59" t="n"/>
      <c r="W639" s="59" t="n"/>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IF(C640="","",ROW()-2)</f>
        <v/>
      </c>
      <c r="B640" s="825" t="n"/>
      <c r="C640" s="826" t="n"/>
      <c r="D640" s="827" t="n"/>
      <c r="E640" s="828" t="n"/>
      <c r="F640" s="829" t="n"/>
      <c r="G640" s="829" t="n"/>
      <c r="H640" s="830" t="n"/>
      <c r="I640" s="37" t="n"/>
      <c r="J640" s="37" t="n"/>
      <c r="K640" s="35">
        <f>IFERROR(I640+J640,0)</f>
        <v/>
      </c>
      <c r="U640" s="59" t="n"/>
      <c r="V640" s="59" t="n"/>
      <c r="W640" s="59" t="n"/>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IF(C641="","",ROW()-2)</f>
        <v/>
      </c>
      <c r="B641" s="825" t="n"/>
      <c r="C641" s="826" t="n"/>
      <c r="D641" s="827" t="n"/>
      <c r="E641" s="828" t="n"/>
      <c r="F641" s="829" t="n"/>
      <c r="G641" s="829" t="n"/>
      <c r="H641" s="830" t="n"/>
      <c r="I641" s="37" t="n"/>
      <c r="J641" s="37" t="n"/>
      <c r="K641" s="35">
        <f>IFERROR(I641+J641,0)</f>
        <v/>
      </c>
      <c r="U641" s="59" t="n"/>
      <c r="V641" s="59" t="n"/>
      <c r="W641" s="59" t="n"/>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IF(C642="","",ROW()-2)</f>
        <v/>
      </c>
      <c r="B642" s="825" t="n"/>
      <c r="C642" s="826" t="n"/>
      <c r="D642" s="827" t="n"/>
      <c r="E642" s="828" t="n"/>
      <c r="F642" s="829" t="n"/>
      <c r="G642" s="829" t="n"/>
      <c r="H642" s="830" t="n"/>
      <c r="I642" s="37" t="n"/>
      <c r="J642" s="37" t="n"/>
      <c r="K642" s="35">
        <f>IFERROR(I642+J642,0)</f>
        <v/>
      </c>
      <c r="U642" s="59" t="n"/>
      <c r="V642" s="59" t="n"/>
      <c r="W642" s="59" t="n"/>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IF(C643="","",ROW()-2)</f>
        <v/>
      </c>
      <c r="B643" s="825" t="n"/>
      <c r="C643" s="826" t="n"/>
      <c r="D643" s="827" t="n"/>
      <c r="E643" s="828" t="n"/>
      <c r="F643" s="829" t="n"/>
      <c r="G643" s="829" t="n"/>
      <c r="H643" s="830" t="n"/>
      <c r="I643" s="37" t="n"/>
      <c r="J643" s="37" t="n"/>
      <c r="K643" s="35">
        <f>IFERROR(I643+J643,0)</f>
        <v/>
      </c>
      <c r="U643" s="59" t="n"/>
      <c r="V643" s="59" t="n"/>
      <c r="W643" s="59" t="n"/>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IF(C644="","",ROW()-2)</f>
        <v/>
      </c>
      <c r="B644" s="825" t="n"/>
      <c r="C644" s="826" t="n"/>
      <c r="D644" s="827" t="n"/>
      <c r="E644" s="828" t="n"/>
      <c r="F644" s="829" t="n"/>
      <c r="G644" s="829" t="n"/>
      <c r="H644" s="830" t="n"/>
      <c r="I644" s="37" t="n"/>
      <c r="J644" s="37" t="n"/>
      <c r="K644" s="35">
        <f>IFERROR(I644+J644,0)</f>
        <v/>
      </c>
      <c r="U644" s="59" t="n"/>
      <c r="V644" s="59" t="n"/>
      <c r="W644" s="59" t="n"/>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IF(C645="","",ROW()-2)</f>
        <v/>
      </c>
      <c r="B645" s="825" t="n"/>
      <c r="C645" s="826" t="n"/>
      <c r="D645" s="827" t="n"/>
      <c r="E645" s="828" t="n"/>
      <c r="F645" s="829" t="n"/>
      <c r="G645" s="829" t="n"/>
      <c r="H645" s="830" t="n"/>
      <c r="I645" s="37" t="n"/>
      <c r="J645" s="37" t="n"/>
      <c r="K645" s="35">
        <f>IFERROR(I645+J645,0)</f>
        <v/>
      </c>
      <c r="U645" s="59" t="n"/>
      <c r="V645" s="59" t="n"/>
      <c r="W645" s="59" t="n"/>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IF(C646="","",ROW()-2)</f>
        <v/>
      </c>
      <c r="B646" s="825" t="n"/>
      <c r="C646" s="826" t="n"/>
      <c r="D646" s="827" t="n"/>
      <c r="E646" s="828" t="n"/>
      <c r="F646" s="829" t="n"/>
      <c r="G646" s="829" t="n"/>
      <c r="H646" s="830" t="n"/>
      <c r="I646" s="37" t="n"/>
      <c r="J646" s="37" t="n"/>
      <c r="K646" s="35">
        <f>IFERROR(I646+J646,0)</f>
        <v/>
      </c>
      <c r="U646" s="59" t="n"/>
      <c r="V646" s="59" t="n"/>
      <c r="W646" s="59" t="n"/>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IF(C647="","",ROW()-2)</f>
        <v/>
      </c>
      <c r="B647" s="825" t="n"/>
      <c r="C647" s="826" t="n"/>
      <c r="D647" s="827" t="n"/>
      <c r="E647" s="828" t="n"/>
      <c r="F647" s="829" t="n"/>
      <c r="G647" s="829" t="n"/>
      <c r="H647" s="830" t="n"/>
      <c r="I647" s="37" t="n"/>
      <c r="J647" s="37" t="n"/>
      <c r="K647" s="35">
        <f>IFERROR(I647+J647,0)</f>
        <v/>
      </c>
      <c r="U647" s="59" t="n"/>
      <c r="V647" s="59" t="n"/>
      <c r="W647" s="59" t="n"/>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IF(C648="","",ROW()-2)</f>
        <v/>
      </c>
      <c r="B648" s="825" t="n"/>
      <c r="C648" s="826" t="n"/>
      <c r="D648" s="827" t="n"/>
      <c r="E648" s="828" t="n"/>
      <c r="F648" s="829" t="n"/>
      <c r="G648" s="829" t="n"/>
      <c r="H648" s="830" t="n"/>
      <c r="I648" s="37" t="n"/>
      <c r="J648" s="37" t="n"/>
      <c r="K648" s="35">
        <f>IFERROR(I648+J648,0)</f>
        <v/>
      </c>
      <c r="U648" s="59" t="n"/>
      <c r="V648" s="59" t="n"/>
      <c r="W648" s="59" t="n"/>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IF(C649="","",ROW()-2)</f>
        <v/>
      </c>
      <c r="B649" s="825" t="n"/>
      <c r="C649" s="826" t="n"/>
      <c r="D649" s="827" t="n"/>
      <c r="E649" s="828" t="n"/>
      <c r="F649" s="829" t="n"/>
      <c r="G649" s="829" t="n"/>
      <c r="H649" s="830" t="n"/>
      <c r="I649" s="37" t="n"/>
      <c r="J649" s="37" t="n"/>
      <c r="K649" s="35">
        <f>IFERROR(I649+J649,0)</f>
        <v/>
      </c>
      <c r="U649" s="59" t="n"/>
      <c r="V649" s="59" t="n"/>
      <c r="W649" s="59" t="n"/>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IF(C650="","",ROW()-2)</f>
        <v/>
      </c>
      <c r="B650" s="825" t="n"/>
      <c r="C650" s="826" t="n"/>
      <c r="D650" s="827" t="n"/>
      <c r="E650" s="828" t="n"/>
      <c r="F650" s="829" t="n"/>
      <c r="G650" s="829" t="n"/>
      <c r="H650" s="830" t="n"/>
      <c r="I650" s="37" t="n"/>
      <c r="J650" s="37" t="n"/>
      <c r="K650" s="35">
        <f>IFERROR(I650+J650,0)</f>
        <v/>
      </c>
      <c r="U650" s="59" t="n"/>
      <c r="V650" s="59" t="n"/>
      <c r="W650" s="59" t="n"/>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IF(C651="","",ROW()-2)</f>
        <v/>
      </c>
      <c r="B651" s="825" t="n"/>
      <c r="C651" s="826" t="n"/>
      <c r="D651" s="827" t="n"/>
      <c r="E651" s="828" t="n"/>
      <c r="F651" s="829" t="n"/>
      <c r="G651" s="829" t="n"/>
      <c r="H651" s="830" t="n"/>
      <c r="I651" s="37" t="n"/>
      <c r="J651" s="37" t="n"/>
      <c r="K651" s="35">
        <f>IFERROR(I651+J651,0)</f>
        <v/>
      </c>
      <c r="U651" s="59" t="n"/>
      <c r="V651" s="59" t="n"/>
      <c r="W651" s="59" t="n"/>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IF(C652="","",ROW()-2)</f>
        <v/>
      </c>
      <c r="B652" s="825" t="n"/>
      <c r="C652" s="826" t="n"/>
      <c r="D652" s="827" t="n"/>
      <c r="E652" s="828" t="n"/>
      <c r="F652" s="829" t="n"/>
      <c r="G652" s="829" t="n"/>
      <c r="H652" s="830" t="n"/>
      <c r="I652" s="37" t="n"/>
      <c r="J652" s="37" t="n"/>
      <c r="K652" s="35">
        <f>IFERROR(I652+J652,0)</f>
        <v/>
      </c>
      <c r="U652" s="59" t="n"/>
      <c r="V652" s="59" t="n"/>
      <c r="W652" s="59" t="n"/>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IF(C653="","",ROW()-2)</f>
        <v/>
      </c>
      <c r="B653" s="825" t="n"/>
      <c r="C653" s="826" t="n"/>
      <c r="D653" s="827" t="n"/>
      <c r="E653" s="828" t="n"/>
      <c r="F653" s="829" t="n"/>
      <c r="G653" s="829" t="n"/>
      <c r="H653" s="830" t="n"/>
      <c r="I653" s="37" t="n"/>
      <c r="J653" s="37" t="n"/>
      <c r="K653" s="35">
        <f>IFERROR(I653+J653,0)</f>
        <v/>
      </c>
      <c r="U653" s="59" t="n"/>
      <c r="V653" s="59" t="n"/>
      <c r="W653" s="59" t="n"/>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IF(C654="","",ROW()-2)</f>
        <v/>
      </c>
      <c r="B654" s="825" t="n"/>
      <c r="C654" s="826" t="n"/>
      <c r="D654" s="827" t="n"/>
      <c r="E654" s="828" t="n"/>
      <c r="F654" s="829" t="n"/>
      <c r="G654" s="829" t="n"/>
      <c r="H654" s="830" t="n"/>
      <c r="I654" s="37" t="n"/>
      <c r="J654" s="37" t="n"/>
      <c r="K654" s="35">
        <f>IFERROR(I654+J654,0)</f>
        <v/>
      </c>
      <c r="U654" s="59" t="n"/>
      <c r="V654" s="59" t="n"/>
      <c r="W654" s="59" t="n"/>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IF(C655="","",ROW()-2)</f>
        <v/>
      </c>
      <c r="B655" s="825" t="n"/>
      <c r="C655" s="826" t="n"/>
      <c r="D655" s="827" t="n"/>
      <c r="E655" s="828" t="n"/>
      <c r="F655" s="829" t="n"/>
      <c r="G655" s="829" t="n"/>
      <c r="H655" s="830" t="n"/>
      <c r="I655" s="37" t="n"/>
      <c r="J655" s="37" t="n"/>
      <c r="K655" s="35">
        <f>IFERROR(I655+J655,0)</f>
        <v/>
      </c>
      <c r="U655" s="59" t="n"/>
      <c r="V655" s="59" t="n"/>
      <c r="W655" s="59" t="n"/>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IF(C656="","",ROW()-2)</f>
        <v/>
      </c>
      <c r="B656" s="825" t="n"/>
      <c r="C656" s="826" t="n"/>
      <c r="D656" s="827" t="n"/>
      <c r="E656" s="828" t="n"/>
      <c r="F656" s="829" t="n"/>
      <c r="G656" s="829" t="n"/>
      <c r="H656" s="830" t="n"/>
      <c r="I656" s="37" t="n"/>
      <c r="J656" s="37" t="n"/>
      <c r="K656" s="35">
        <f>IFERROR(I656+J656,0)</f>
        <v/>
      </c>
      <c r="U656" s="59" t="n"/>
      <c r="V656" s="59" t="n"/>
      <c r="W656" s="59" t="n"/>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IF(C657="","",ROW()-2)</f>
        <v/>
      </c>
      <c r="B657" s="825" t="n"/>
      <c r="C657" s="826" t="n"/>
      <c r="D657" s="827" t="n"/>
      <c r="E657" s="828" t="n"/>
      <c r="F657" s="829" t="n"/>
      <c r="G657" s="829" t="n"/>
      <c r="H657" s="830" t="n"/>
      <c r="I657" s="37" t="n"/>
      <c r="J657" s="37" t="n"/>
      <c r="K657" s="35">
        <f>IFERROR(I657+J657,0)</f>
        <v/>
      </c>
      <c r="U657" s="59" t="n"/>
      <c r="V657" s="59" t="n"/>
      <c r="W657" s="59" t="n"/>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IF(C658="","",ROW()-2)</f>
        <v/>
      </c>
      <c r="B658" s="825" t="n"/>
      <c r="C658" s="826" t="n"/>
      <c r="D658" s="827" t="n"/>
      <c r="E658" s="828" t="n"/>
      <c r="F658" s="829" t="n"/>
      <c r="G658" s="829" t="n"/>
      <c r="H658" s="830" t="n"/>
      <c r="I658" s="37" t="n"/>
      <c r="J658" s="37" t="n"/>
      <c r="K658" s="35">
        <f>IFERROR(I658+J658,0)</f>
        <v/>
      </c>
      <c r="U658" s="59" t="n"/>
      <c r="V658" s="59" t="n"/>
      <c r="W658" s="59" t="n"/>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IF(C659="","",ROW()-2)</f>
        <v/>
      </c>
      <c r="B659" s="825" t="n"/>
      <c r="C659" s="826" t="n"/>
      <c r="D659" s="827" t="n"/>
      <c r="E659" s="828" t="n"/>
      <c r="F659" s="829" t="n"/>
      <c r="G659" s="829" t="n"/>
      <c r="H659" s="830" t="n"/>
      <c r="I659" s="37" t="n"/>
      <c r="J659" s="37" t="n"/>
      <c r="K659" s="35">
        <f>IFERROR(I659+J659,0)</f>
        <v/>
      </c>
      <c r="U659" s="59" t="n"/>
      <c r="V659" s="59" t="n"/>
      <c r="W659" s="59" t="n"/>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IF(C660="","",ROW()-2)</f>
        <v/>
      </c>
      <c r="B660" s="825" t="n"/>
      <c r="C660" s="826" t="n"/>
      <c r="D660" s="827" t="n"/>
      <c r="E660" s="828" t="n"/>
      <c r="F660" s="829" t="n"/>
      <c r="G660" s="829" t="n"/>
      <c r="H660" s="830" t="n"/>
      <c r="I660" s="37" t="n"/>
      <c r="J660" s="37" t="n"/>
      <c r="K660" s="35">
        <f>IFERROR(I660+J660,0)</f>
        <v/>
      </c>
      <c r="U660" s="59" t="n"/>
      <c r="V660" s="59" t="n"/>
      <c r="W660" s="59" t="n"/>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IF(C661="","",ROW()-2)</f>
        <v/>
      </c>
      <c r="B661" s="825" t="n"/>
      <c r="C661" s="826" t="n"/>
      <c r="D661" s="827" t="n"/>
      <c r="E661" s="828" t="n"/>
      <c r="F661" s="829" t="n"/>
      <c r="G661" s="829" t="n"/>
      <c r="H661" s="830" t="n"/>
      <c r="I661" s="37" t="n"/>
      <c r="J661" s="37" t="n"/>
      <c r="K661" s="35">
        <f>IFERROR(I661+J661,0)</f>
        <v/>
      </c>
      <c r="U661" s="59" t="n"/>
      <c r="V661" s="59" t="n"/>
      <c r="W661" s="59" t="n"/>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IF(C662="","",ROW()-2)</f>
        <v/>
      </c>
      <c r="B662" s="825" t="n"/>
      <c r="C662" s="826" t="n"/>
      <c r="D662" s="827" t="n"/>
      <c r="E662" s="828" t="n"/>
      <c r="F662" s="829" t="n"/>
      <c r="G662" s="829" t="n"/>
      <c r="H662" s="830" t="n"/>
      <c r="I662" s="37" t="n"/>
      <c r="J662" s="37" t="n"/>
      <c r="K662" s="35">
        <f>IFERROR(I662+J662,0)</f>
        <v/>
      </c>
      <c r="U662" s="59" t="n"/>
      <c r="V662" s="59" t="n"/>
      <c r="W662" s="59" t="n"/>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IF(C663="","",ROW()-2)</f>
        <v/>
      </c>
      <c r="B663" s="825" t="n"/>
      <c r="C663" s="826" t="n"/>
      <c r="D663" s="827" t="n"/>
      <c r="E663" s="828" t="n"/>
      <c r="F663" s="829" t="n"/>
      <c r="G663" s="829" t="n"/>
      <c r="H663" s="830" t="n"/>
      <c r="I663" s="37" t="n"/>
      <c r="J663" s="37" t="n"/>
      <c r="K663" s="35">
        <f>IFERROR(I663+J663,0)</f>
        <v/>
      </c>
      <c r="U663" s="59" t="n"/>
      <c r="V663" s="59" t="n"/>
      <c r="W663" s="59" t="n"/>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IF(C664="","",ROW()-2)</f>
        <v/>
      </c>
      <c r="B664" s="825" t="n"/>
      <c r="C664" s="826" t="n"/>
      <c r="D664" s="827" t="n"/>
      <c r="E664" s="828" t="n"/>
      <c r="F664" s="829" t="n"/>
      <c r="G664" s="829" t="n"/>
      <c r="H664" s="830" t="n"/>
      <c r="I664" s="37" t="n"/>
      <c r="J664" s="37" t="n"/>
      <c r="K664" s="35">
        <f>IFERROR(I664+J664,0)</f>
        <v/>
      </c>
      <c r="U664" s="59" t="n"/>
      <c r="V664" s="59" t="n"/>
      <c r="W664" s="59" t="n"/>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IF(C665="","",ROW()-2)</f>
        <v/>
      </c>
      <c r="B665" s="825" t="n"/>
      <c r="C665" s="826" t="n"/>
      <c r="D665" s="827" t="n"/>
      <c r="E665" s="828" t="n"/>
      <c r="F665" s="829" t="n"/>
      <c r="G665" s="829" t="n"/>
      <c r="H665" s="830" t="n"/>
      <c r="I665" s="37" t="n"/>
      <c r="J665" s="37" t="n"/>
      <c r="K665" s="35">
        <f>IFERROR(I665+J665,0)</f>
        <v/>
      </c>
      <c r="U665" s="59" t="n"/>
      <c r="V665" s="59" t="n"/>
      <c r="W665" s="59" t="n"/>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IF(C666="","",ROW()-2)</f>
        <v/>
      </c>
      <c r="B666" s="825" t="n"/>
      <c r="C666" s="826" t="n"/>
      <c r="D666" s="827" t="n"/>
      <c r="E666" s="828" t="n"/>
      <c r="F666" s="829" t="n"/>
      <c r="G666" s="829" t="n"/>
      <c r="H666" s="830" t="n"/>
      <c r="I666" s="37" t="n"/>
      <c r="J666" s="37" t="n"/>
      <c r="K666" s="35">
        <f>IFERROR(I666+J666,0)</f>
        <v/>
      </c>
      <c r="U666" s="59" t="n"/>
      <c r="V666" s="59" t="n"/>
      <c r="W666" s="59" t="n"/>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IF(C667="","",ROW()-2)</f>
        <v/>
      </c>
      <c r="B667" s="825" t="n"/>
      <c r="C667" s="826" t="n"/>
      <c r="D667" s="827" t="n"/>
      <c r="E667" s="828" t="n"/>
      <c r="F667" s="829" t="n"/>
      <c r="G667" s="829" t="n"/>
      <c r="H667" s="830" t="n"/>
      <c r="I667" s="37" t="n"/>
      <c r="J667" s="37" t="n"/>
      <c r="K667" s="35">
        <f>IFERROR(I667+J667,0)</f>
        <v/>
      </c>
      <c r="U667" s="59" t="n"/>
      <c r="V667" s="59" t="n"/>
      <c r="W667" s="59" t="n"/>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IF(C668="","",ROW()-2)</f>
        <v/>
      </c>
      <c r="B668" s="825" t="n"/>
      <c r="C668" s="826" t="n"/>
      <c r="D668" s="827" t="n"/>
      <c r="E668" s="828" t="n"/>
      <c r="F668" s="829" t="n"/>
      <c r="G668" s="829" t="n"/>
      <c r="H668" s="830" t="n"/>
      <c r="I668" s="37" t="n"/>
      <c r="J668" s="37" t="n"/>
      <c r="K668" s="35">
        <f>IFERROR(I668+J668,0)</f>
        <v/>
      </c>
      <c r="U668" s="59" t="n"/>
      <c r="V668" s="59" t="n"/>
      <c r="W668" s="59" t="n"/>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IF(C669="","",ROW()-2)</f>
        <v/>
      </c>
      <c r="B669" s="825" t="n"/>
      <c r="C669" s="826" t="n"/>
      <c r="D669" s="827" t="n"/>
      <c r="E669" s="828" t="n"/>
      <c r="F669" s="829" t="n"/>
      <c r="G669" s="829" t="n"/>
      <c r="H669" s="830" t="n"/>
      <c r="I669" s="37" t="n"/>
      <c r="J669" s="37" t="n"/>
      <c r="K669" s="35">
        <f>IFERROR(I669+J669,0)</f>
        <v/>
      </c>
      <c r="U669" s="59" t="n"/>
      <c r="V669" s="59" t="n"/>
      <c r="W669" s="59" t="n"/>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IF(C670="","",ROW()-2)</f>
        <v/>
      </c>
      <c r="B670" s="825" t="n"/>
      <c r="C670" s="826" t="n"/>
      <c r="D670" s="827" t="n"/>
      <c r="E670" s="828" t="n"/>
      <c r="F670" s="829" t="n"/>
      <c r="G670" s="829" t="n"/>
      <c r="H670" s="830" t="n"/>
      <c r="I670" s="37" t="n"/>
      <c r="J670" s="37" t="n"/>
      <c r="K670" s="35">
        <f>IFERROR(I670+J670,0)</f>
        <v/>
      </c>
      <c r="U670" s="59" t="n"/>
      <c r="V670" s="59" t="n"/>
      <c r="W670" s="59" t="n"/>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IF(C671="","",ROW()-2)</f>
        <v/>
      </c>
      <c r="B671" s="825" t="n"/>
      <c r="C671" s="826" t="n"/>
      <c r="D671" s="827" t="n"/>
      <c r="E671" s="828" t="n"/>
      <c r="F671" s="829" t="n"/>
      <c r="G671" s="829" t="n"/>
      <c r="H671" s="830" t="n"/>
      <c r="I671" s="37" t="n"/>
      <c r="J671" s="37" t="n"/>
      <c r="K671" s="35">
        <f>IFERROR(I671+J671,0)</f>
        <v/>
      </c>
      <c r="U671" s="59" t="n"/>
      <c r="V671" s="59" t="n"/>
      <c r="W671" s="59" t="n"/>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IF(C672="","",ROW()-2)</f>
        <v/>
      </c>
      <c r="B672" s="825" t="n"/>
      <c r="C672" s="826" t="n"/>
      <c r="D672" s="827" t="n"/>
      <c r="E672" s="828" t="n"/>
      <c r="F672" s="829" t="n"/>
      <c r="G672" s="829" t="n"/>
      <c r="H672" s="830" t="n"/>
      <c r="I672" s="37" t="n"/>
      <c r="J672" s="37" t="n"/>
      <c r="K672" s="35">
        <f>IFERROR(I672+J672,0)</f>
        <v/>
      </c>
      <c r="U672" s="59" t="n"/>
      <c r="V672" s="59" t="n"/>
      <c r="W672" s="59" t="n"/>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IF(C673="","",ROW()-2)</f>
        <v/>
      </c>
      <c r="B673" s="825" t="n"/>
      <c r="C673" s="826" t="n"/>
      <c r="D673" s="827" t="n"/>
      <c r="E673" s="828" t="n"/>
      <c r="F673" s="829" t="n"/>
      <c r="G673" s="829" t="n"/>
      <c r="H673" s="830" t="n"/>
      <c r="I673" s="37" t="n"/>
      <c r="J673" s="37" t="n"/>
      <c r="K673" s="35">
        <f>IFERROR(I673+J673,0)</f>
        <v/>
      </c>
      <c r="U673" s="59" t="n"/>
      <c r="V673" s="59" t="n"/>
      <c r="W673" s="59" t="n"/>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IF(C674="","",ROW()-2)</f>
        <v/>
      </c>
      <c r="B674" s="825" t="n"/>
      <c r="C674" s="826" t="n"/>
      <c r="D674" s="827" t="n"/>
      <c r="E674" s="828" t="n"/>
      <c r="F674" s="829" t="n"/>
      <c r="G674" s="829" t="n"/>
      <c r="H674" s="830" t="n"/>
      <c r="I674" s="37" t="n"/>
      <c r="J674" s="37" t="n"/>
      <c r="K674" s="35">
        <f>IFERROR(I674+J674,0)</f>
        <v/>
      </c>
      <c r="U674" s="59" t="n"/>
      <c r="V674" s="59" t="n"/>
      <c r="W674" s="59" t="n"/>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IF(C675="","",ROW()-2)</f>
        <v/>
      </c>
      <c r="B675" s="825" t="n"/>
      <c r="C675" s="826" t="n"/>
      <c r="D675" s="827" t="n"/>
      <c r="E675" s="828" t="n"/>
      <c r="F675" s="829" t="n"/>
      <c r="G675" s="829" t="n"/>
      <c r="H675" s="830" t="n"/>
      <c r="I675" s="37" t="n"/>
      <c r="J675" s="37" t="n"/>
      <c r="K675" s="35">
        <f>IFERROR(I675+J675,0)</f>
        <v/>
      </c>
      <c r="U675" s="59" t="n"/>
      <c r="V675" s="59" t="n"/>
      <c r="W675" s="59" t="n"/>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IF(C676="","",ROW()-2)</f>
        <v/>
      </c>
      <c r="B676" s="825" t="n"/>
      <c r="C676" s="826" t="n"/>
      <c r="D676" s="827" t="n"/>
      <c r="E676" s="828" t="n"/>
      <c r="F676" s="829" t="n"/>
      <c r="G676" s="829" t="n"/>
      <c r="H676" s="830" t="n"/>
      <c r="I676" s="37" t="n"/>
      <c r="J676" s="37" t="n"/>
      <c r="K676" s="35">
        <f>IFERROR(I676+J676,0)</f>
        <v/>
      </c>
      <c r="U676" s="59" t="n"/>
      <c r="V676" s="59" t="n"/>
      <c r="W676" s="59" t="n"/>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IF(C677="","",ROW()-2)</f>
        <v/>
      </c>
      <c r="B677" s="825" t="n"/>
      <c r="C677" s="826" t="n"/>
      <c r="D677" s="827" t="n"/>
      <c r="E677" s="828" t="n"/>
      <c r="F677" s="829" t="n"/>
      <c r="G677" s="829" t="n"/>
      <c r="H677" s="830" t="n"/>
      <c r="I677" s="37" t="n"/>
      <c r="J677" s="37" t="n"/>
      <c r="K677" s="35">
        <f>IFERROR(I677+J677,0)</f>
        <v/>
      </c>
      <c r="U677" s="59" t="n"/>
      <c r="V677" s="59" t="n"/>
      <c r="W677" s="59" t="n"/>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IF(C678="","",ROW()-2)</f>
        <v/>
      </c>
      <c r="B678" s="825" t="n"/>
      <c r="C678" s="826" t="n"/>
      <c r="D678" s="827" t="n"/>
      <c r="E678" s="828" t="n"/>
      <c r="F678" s="829" t="n"/>
      <c r="G678" s="829" t="n"/>
      <c r="H678" s="830" t="n"/>
      <c r="I678" s="37" t="n"/>
      <c r="J678" s="37" t="n"/>
      <c r="K678" s="35">
        <f>IFERROR(I678+J678,0)</f>
        <v/>
      </c>
      <c r="U678" s="59" t="n"/>
      <c r="V678" s="59" t="n"/>
      <c r="W678" s="59" t="n"/>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IF(C679="","",ROW()-2)</f>
        <v/>
      </c>
      <c r="B679" s="825" t="n"/>
      <c r="C679" s="826" t="n"/>
      <c r="D679" s="827" t="n"/>
      <c r="E679" s="828" t="n"/>
      <c r="F679" s="829" t="n"/>
      <c r="G679" s="829" t="n"/>
      <c r="H679" s="830" t="n"/>
      <c r="I679" s="37" t="n"/>
      <c r="J679" s="37" t="n"/>
      <c r="K679" s="35">
        <f>IFERROR(I679+J679,0)</f>
        <v/>
      </c>
      <c r="U679" s="59" t="n"/>
      <c r="V679" s="59" t="n"/>
      <c r="W679" s="59" t="n"/>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IF(C680="","",ROW()-2)</f>
        <v/>
      </c>
      <c r="B680" s="825" t="n"/>
      <c r="C680" s="826" t="n"/>
      <c r="D680" s="827" t="n"/>
      <c r="E680" s="828" t="n"/>
      <c r="F680" s="829" t="n"/>
      <c r="G680" s="829" t="n"/>
      <c r="H680" s="830" t="n"/>
      <c r="I680" s="37" t="n"/>
      <c r="J680" s="37" t="n"/>
      <c r="K680" s="35">
        <f>IFERROR(I680+J680,0)</f>
        <v/>
      </c>
      <c r="U680" s="59" t="n"/>
      <c r="V680" s="59" t="n"/>
      <c r="W680" s="59" t="n"/>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IF(C681="","",ROW()-2)</f>
        <v/>
      </c>
      <c r="B681" s="825" t="n"/>
      <c r="C681" s="826" t="n"/>
      <c r="D681" s="827" t="n"/>
      <c r="E681" s="828" t="n"/>
      <c r="F681" s="829" t="n"/>
      <c r="G681" s="829" t="n"/>
      <c r="H681" s="830" t="n"/>
      <c r="I681" s="37" t="n"/>
      <c r="J681" s="37" t="n"/>
      <c r="K681" s="35">
        <f>IFERROR(I681+J681,0)</f>
        <v/>
      </c>
      <c r="U681" s="59" t="n"/>
      <c r="V681" s="59" t="n"/>
      <c r="W681" s="59" t="n"/>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IF(C682="","",ROW()-2)</f>
        <v/>
      </c>
      <c r="B682" s="825" t="n"/>
      <c r="C682" s="826" t="n"/>
      <c r="D682" s="827" t="n"/>
      <c r="E682" s="828" t="n"/>
      <c r="F682" s="829" t="n"/>
      <c r="G682" s="829" t="n"/>
      <c r="H682" s="830" t="n"/>
      <c r="I682" s="37" t="n"/>
      <c r="J682" s="37" t="n"/>
      <c r="K682" s="35">
        <f>IFERROR(I682+J682,0)</f>
        <v/>
      </c>
      <c r="U682" s="59" t="n"/>
      <c r="V682" s="59" t="n"/>
      <c r="W682" s="59" t="n"/>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IF(C683="","",ROW()-2)</f>
        <v/>
      </c>
      <c r="B683" s="825" t="n"/>
      <c r="C683" s="826" t="n"/>
      <c r="D683" s="827" t="n"/>
      <c r="E683" s="828" t="n"/>
      <c r="F683" s="829" t="n"/>
      <c r="G683" s="829" t="n"/>
      <c r="H683" s="830" t="n"/>
      <c r="I683" s="37" t="n"/>
      <c r="J683" s="37" t="n"/>
      <c r="K683" s="35">
        <f>IFERROR(I683+J683,0)</f>
        <v/>
      </c>
      <c r="U683" s="59" t="n"/>
      <c r="V683" s="59" t="n"/>
      <c r="W683" s="59" t="n"/>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IF(C684="","",ROW()-2)</f>
        <v/>
      </c>
      <c r="B684" s="825" t="n"/>
      <c r="C684" s="826" t="n"/>
      <c r="D684" s="827" t="n"/>
      <c r="E684" s="828" t="n"/>
      <c r="F684" s="829" t="n"/>
      <c r="G684" s="829" t="n"/>
      <c r="H684" s="830" t="n"/>
      <c r="I684" s="37" t="n"/>
      <c r="J684" s="37" t="n"/>
      <c r="K684" s="35">
        <f>IFERROR(I684+J684,0)</f>
        <v/>
      </c>
      <c r="U684" s="59" t="n"/>
      <c r="V684" s="59" t="n"/>
      <c r="W684" s="59" t="n"/>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IF(C685="","",ROW()-2)</f>
        <v/>
      </c>
      <c r="B685" s="825" t="n"/>
      <c r="C685" s="826" t="n"/>
      <c r="D685" s="827" t="n"/>
      <c r="E685" s="828" t="n"/>
      <c r="F685" s="829" t="n"/>
      <c r="G685" s="829" t="n"/>
      <c r="H685" s="830" t="n"/>
      <c r="I685" s="37" t="n"/>
      <c r="J685" s="37" t="n"/>
      <c r="K685" s="35">
        <f>IFERROR(I685+J685,0)</f>
        <v/>
      </c>
      <c r="U685" s="59" t="n"/>
      <c r="V685" s="59" t="n"/>
      <c r="W685" s="59" t="n"/>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IF(C686="","",ROW()-2)</f>
        <v/>
      </c>
      <c r="B686" s="825" t="n"/>
      <c r="C686" s="826" t="n"/>
      <c r="D686" s="827" t="n"/>
      <c r="E686" s="828" t="n"/>
      <c r="F686" s="829" t="n"/>
      <c r="G686" s="829" t="n"/>
      <c r="H686" s="830" t="n"/>
      <c r="I686" s="37" t="n"/>
      <c r="J686" s="37" t="n"/>
      <c r="K686" s="35">
        <f>IFERROR(I686+J686,0)</f>
        <v/>
      </c>
      <c r="U686" s="59" t="n"/>
      <c r="V686" s="59" t="n"/>
      <c r="W686" s="59" t="n"/>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IF(C687="","",ROW()-2)</f>
        <v/>
      </c>
      <c r="B687" s="825" t="n"/>
      <c r="C687" s="826" t="n"/>
      <c r="D687" s="827" t="n"/>
      <c r="E687" s="828" t="n"/>
      <c r="F687" s="829" t="n"/>
      <c r="G687" s="829" t="n"/>
      <c r="H687" s="830" t="n"/>
      <c r="I687" s="37" t="n"/>
      <c r="J687" s="37" t="n"/>
      <c r="K687" s="35">
        <f>IFERROR(I687+J687,0)</f>
        <v/>
      </c>
      <c r="U687" s="59" t="n"/>
      <c r="V687" s="59" t="n"/>
      <c r="W687" s="59" t="n"/>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IF(C688="","",ROW()-2)</f>
        <v/>
      </c>
      <c r="B688" s="825" t="n"/>
      <c r="C688" s="826" t="n"/>
      <c r="D688" s="827" t="n"/>
      <c r="E688" s="828" t="n"/>
      <c r="F688" s="829" t="n"/>
      <c r="G688" s="829" t="n"/>
      <c r="H688" s="830" t="n"/>
      <c r="I688" s="37" t="n"/>
      <c r="J688" s="37" t="n"/>
      <c r="K688" s="35">
        <f>IFERROR(I688+J688,0)</f>
        <v/>
      </c>
      <c r="U688" s="59" t="n"/>
      <c r="V688" s="59" t="n"/>
      <c r="W688" s="59" t="n"/>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IF(C689="","",ROW()-2)</f>
        <v/>
      </c>
      <c r="B689" s="825" t="n"/>
      <c r="C689" s="826" t="n"/>
      <c r="D689" s="827" t="n"/>
      <c r="E689" s="828" t="n"/>
      <c r="F689" s="829" t="n"/>
      <c r="G689" s="829" t="n"/>
      <c r="H689" s="830" t="n"/>
      <c r="I689" s="37" t="n"/>
      <c r="J689" s="37" t="n"/>
      <c r="K689" s="35">
        <f>IFERROR(I689+J689,0)</f>
        <v/>
      </c>
      <c r="U689" s="59" t="n"/>
      <c r="V689" s="59" t="n"/>
      <c r="W689" s="59" t="n"/>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IF(C690="","",ROW()-2)</f>
        <v/>
      </c>
      <c r="B690" s="825" t="n"/>
      <c r="C690" s="826" t="n"/>
      <c r="D690" s="827" t="n"/>
      <c r="E690" s="828" t="n"/>
      <c r="F690" s="829" t="n"/>
      <c r="G690" s="829" t="n"/>
      <c r="H690" s="830" t="n"/>
      <c r="I690" s="37" t="n"/>
      <c r="J690" s="37" t="n"/>
      <c r="K690" s="35">
        <f>IFERROR(I690+J690,0)</f>
        <v/>
      </c>
      <c r="U690" s="59" t="n"/>
      <c r="V690" s="59" t="n"/>
      <c r="W690" s="59" t="n"/>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IF(C691="","",ROW()-2)</f>
        <v/>
      </c>
      <c r="B691" s="825" t="n"/>
      <c r="C691" s="826" t="n"/>
      <c r="D691" s="827" t="n"/>
      <c r="E691" s="828" t="n"/>
      <c r="F691" s="829" t="n"/>
      <c r="G691" s="829" t="n"/>
      <c r="H691" s="830" t="n"/>
      <c r="I691" s="37" t="n"/>
      <c r="J691" s="37" t="n"/>
      <c r="K691" s="35">
        <f>IFERROR(I691+J691,0)</f>
        <v/>
      </c>
      <c r="U691" s="59" t="n"/>
      <c r="V691" s="59" t="n"/>
      <c r="W691" s="59" t="n"/>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IF(C692="","",ROW()-2)</f>
        <v/>
      </c>
      <c r="B692" s="825" t="n"/>
      <c r="C692" s="826" t="n"/>
      <c r="D692" s="827" t="n"/>
      <c r="E692" s="828" t="n"/>
      <c r="F692" s="829" t="n"/>
      <c r="G692" s="829" t="n"/>
      <c r="H692" s="830" t="n"/>
      <c r="I692" s="37" t="n"/>
      <c r="J692" s="37" t="n"/>
      <c r="K692" s="35">
        <f>IFERROR(I692+J692,0)</f>
        <v/>
      </c>
      <c r="U692" s="59" t="n"/>
      <c r="V692" s="59" t="n"/>
      <c r="W692" s="59" t="n"/>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IF(C693="","",ROW()-2)</f>
        <v/>
      </c>
      <c r="B693" s="825" t="n"/>
      <c r="C693" s="826" t="n"/>
      <c r="D693" s="827" t="n"/>
      <c r="E693" s="828" t="n"/>
      <c r="F693" s="829" t="n"/>
      <c r="G693" s="829" t="n"/>
      <c r="H693" s="830" t="n"/>
      <c r="I693" s="37" t="n"/>
      <c r="J693" s="37" t="n"/>
      <c r="K693" s="35">
        <f>IFERROR(I693+J693,0)</f>
        <v/>
      </c>
      <c r="U693" s="59" t="n"/>
      <c r="V693" s="59" t="n"/>
      <c r="W693" s="59" t="n"/>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IF(C694="","",ROW()-2)</f>
        <v/>
      </c>
      <c r="B694" s="825" t="n"/>
      <c r="C694" s="826" t="n"/>
      <c r="D694" s="827" t="n"/>
      <c r="E694" s="828" t="n"/>
      <c r="F694" s="829" t="n"/>
      <c r="G694" s="829" t="n"/>
      <c r="H694" s="830" t="n"/>
      <c r="I694" s="37" t="n"/>
      <c r="J694" s="37" t="n"/>
      <c r="K694" s="35">
        <f>IFERROR(I694+J694,0)</f>
        <v/>
      </c>
      <c r="U694" s="59" t="n"/>
      <c r="V694" s="59" t="n"/>
      <c r="W694" s="59" t="n"/>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IF(C695="","",ROW()-2)</f>
        <v/>
      </c>
      <c r="B695" s="825" t="n"/>
      <c r="C695" s="826" t="n"/>
      <c r="D695" s="827" t="n"/>
      <c r="E695" s="828" t="n"/>
      <c r="F695" s="829" t="n"/>
      <c r="G695" s="829" t="n"/>
      <c r="H695" s="830" t="n"/>
      <c r="I695" s="37" t="n"/>
      <c r="J695" s="37" t="n"/>
      <c r="K695" s="35">
        <f>IFERROR(I695+J695,0)</f>
        <v/>
      </c>
      <c r="U695" s="59" t="n"/>
      <c r="V695" s="59" t="n"/>
      <c r="W695" s="59" t="n"/>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IF(C696="","",ROW()-2)</f>
        <v/>
      </c>
      <c r="B696" s="825" t="n"/>
      <c r="C696" s="826" t="n"/>
      <c r="D696" s="827" t="n"/>
      <c r="E696" s="828" t="n"/>
      <c r="F696" s="829" t="n"/>
      <c r="G696" s="829" t="n"/>
      <c r="H696" s="830" t="n"/>
      <c r="I696" s="37" t="n"/>
      <c r="J696" s="37" t="n"/>
      <c r="K696" s="35">
        <f>IFERROR(I696+J696,0)</f>
        <v/>
      </c>
      <c r="U696" s="59" t="n"/>
      <c r="V696" s="59" t="n"/>
      <c r="W696" s="59" t="n"/>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IF(C697="","",ROW()-2)</f>
        <v/>
      </c>
      <c r="B697" s="825" t="n"/>
      <c r="C697" s="826" t="n"/>
      <c r="D697" s="827" t="n"/>
      <c r="E697" s="828" t="n"/>
      <c r="F697" s="829" t="n"/>
      <c r="G697" s="829" t="n"/>
      <c r="H697" s="830" t="n"/>
      <c r="I697" s="37" t="n"/>
      <c r="J697" s="37" t="n"/>
      <c r="K697" s="35">
        <f>IFERROR(I697+J697,0)</f>
        <v/>
      </c>
      <c r="U697" s="59" t="n"/>
      <c r="V697" s="59" t="n"/>
      <c r="W697" s="59" t="n"/>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IF(C698="","",ROW()-2)</f>
        <v/>
      </c>
      <c r="B698" s="825" t="n"/>
      <c r="C698" s="826" t="n"/>
      <c r="D698" s="827" t="n"/>
      <c r="E698" s="828" t="n"/>
      <c r="F698" s="829" t="n"/>
      <c r="G698" s="829" t="n"/>
      <c r="H698" s="830" t="n"/>
      <c r="I698" s="37" t="n"/>
      <c r="J698" s="37" t="n"/>
      <c r="K698" s="35">
        <f>IFERROR(I698+J698,0)</f>
        <v/>
      </c>
      <c r="U698" s="59" t="n"/>
      <c r="V698" s="59" t="n"/>
      <c r="W698" s="59" t="n"/>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IF(C699="","",ROW()-2)</f>
        <v/>
      </c>
      <c r="B699" s="825" t="n"/>
      <c r="C699" s="826" t="n"/>
      <c r="D699" s="827" t="n"/>
      <c r="E699" s="828" t="n"/>
      <c r="F699" s="829" t="n"/>
      <c r="G699" s="829" t="n"/>
      <c r="H699" s="830" t="n"/>
      <c r="I699" s="37" t="n"/>
      <c r="J699" s="37" t="n"/>
      <c r="K699" s="35">
        <f>IFERROR(I699+J699,0)</f>
        <v/>
      </c>
      <c r="U699" s="59" t="n"/>
      <c r="V699" s="59" t="n"/>
      <c r="W699" s="59" t="n"/>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IF(C700="","",ROW()-2)</f>
        <v/>
      </c>
      <c r="B700" s="825" t="n"/>
      <c r="C700" s="826" t="n"/>
      <c r="D700" s="827" t="n"/>
      <c r="E700" s="828" t="n"/>
      <c r="F700" s="829" t="n"/>
      <c r="G700" s="829" t="n"/>
      <c r="H700" s="830" t="n"/>
      <c r="I700" s="37" t="n"/>
      <c r="J700" s="37" t="n"/>
      <c r="K700" s="35">
        <f>IFERROR(I700+J700,0)</f>
        <v/>
      </c>
      <c r="U700" s="59" t="n"/>
      <c r="V700" s="59" t="n"/>
      <c r="W700" s="59" t="n"/>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IF(C701="","",ROW()-2)</f>
        <v/>
      </c>
      <c r="B701" s="825" t="n"/>
      <c r="C701" s="826" t="n"/>
      <c r="D701" s="827" t="n"/>
      <c r="E701" s="828" t="n"/>
      <c r="F701" s="829" t="n"/>
      <c r="G701" s="829" t="n"/>
      <c r="H701" s="830" t="n"/>
      <c r="I701" s="37" t="n"/>
      <c r="J701" s="37" t="n"/>
      <c r="K701" s="35">
        <f>IFERROR(I701+J701,0)</f>
        <v/>
      </c>
      <c r="U701" s="59" t="n"/>
      <c r="V701" s="59" t="n"/>
      <c r="W701" s="59" t="n"/>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IF(C702="","",ROW()-2)</f>
        <v/>
      </c>
      <c r="B702" s="825" t="n"/>
      <c r="C702" s="826" t="n"/>
      <c r="D702" s="827" t="n"/>
      <c r="E702" s="828" t="n"/>
      <c r="F702" s="829" t="n"/>
      <c r="G702" s="829" t="n"/>
      <c r="H702" s="830" t="n"/>
      <c r="I702" s="37" t="n"/>
      <c r="J702" s="37" t="n"/>
      <c r="K702" s="35">
        <f>IFERROR(I702+J702,0)</f>
        <v/>
      </c>
      <c r="U702" s="59" t="n"/>
      <c r="V702" s="59" t="n"/>
      <c r="W702" s="59" t="n"/>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IF(C703="","",ROW()-2)</f>
        <v/>
      </c>
      <c r="B703" s="825" t="n"/>
      <c r="C703" s="826" t="n"/>
      <c r="D703" s="827" t="n"/>
      <c r="E703" s="828" t="n"/>
      <c r="F703" s="829" t="n"/>
      <c r="G703" s="829" t="n"/>
      <c r="H703" s="830" t="n"/>
      <c r="I703" s="37" t="n"/>
      <c r="J703" s="37" t="n"/>
      <c r="K703" s="35">
        <f>IFERROR(I703+J703,0)</f>
        <v/>
      </c>
      <c r="U703" s="59" t="n"/>
      <c r="V703" s="59" t="n"/>
      <c r="W703" s="59" t="n"/>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IF(C704="","",ROW()-2)</f>
        <v/>
      </c>
      <c r="B704" s="825" t="n"/>
      <c r="C704" s="826" t="n"/>
      <c r="D704" s="827" t="n"/>
      <c r="E704" s="828" t="n"/>
      <c r="F704" s="829" t="n"/>
      <c r="G704" s="829" t="n"/>
      <c r="H704" s="830" t="n"/>
      <c r="I704" s="37" t="n"/>
      <c r="J704" s="37" t="n"/>
      <c r="K704" s="35">
        <f>IFERROR(I704+J704,0)</f>
        <v/>
      </c>
      <c r="U704" s="59" t="n"/>
      <c r="V704" s="59" t="n"/>
      <c r="W704" s="59" t="n"/>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IF(C705="","",ROW()-2)</f>
        <v/>
      </c>
      <c r="B705" s="825" t="n"/>
      <c r="C705" s="826" t="n"/>
      <c r="D705" s="827" t="n"/>
      <c r="E705" s="828" t="n"/>
      <c r="F705" s="829" t="n"/>
      <c r="G705" s="829" t="n"/>
      <c r="H705" s="830" t="n"/>
      <c r="I705" s="37" t="n"/>
      <c r="J705" s="37" t="n"/>
      <c r="K705" s="35">
        <f>IFERROR(I705+J705,0)</f>
        <v/>
      </c>
      <c r="U705" s="59" t="n"/>
      <c r="V705" s="59" t="n"/>
      <c r="W705" s="59" t="n"/>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IF(C706="","",ROW()-2)</f>
        <v/>
      </c>
      <c r="B706" s="825" t="n"/>
      <c r="C706" s="826" t="n"/>
      <c r="D706" s="827" t="n"/>
      <c r="E706" s="828" t="n"/>
      <c r="F706" s="829" t="n"/>
      <c r="G706" s="829" t="n"/>
      <c r="H706" s="830" t="n"/>
      <c r="I706" s="37" t="n"/>
      <c r="J706" s="37" t="n"/>
      <c r="K706" s="35">
        <f>IFERROR(I706+J706,0)</f>
        <v/>
      </c>
      <c r="U706" s="59" t="n"/>
      <c r="V706" s="59" t="n"/>
      <c r="W706" s="59" t="n"/>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IF(C707="","",ROW()-2)</f>
        <v/>
      </c>
      <c r="B707" s="825" t="n"/>
      <c r="C707" s="826" t="n"/>
      <c r="D707" s="827" t="n"/>
      <c r="E707" s="828" t="n"/>
      <c r="F707" s="829" t="n"/>
      <c r="G707" s="829" t="n"/>
      <c r="H707" s="830" t="n"/>
      <c r="I707" s="37" t="n"/>
      <c r="J707" s="37" t="n"/>
      <c r="K707" s="35">
        <f>IFERROR(I707+J707,0)</f>
        <v/>
      </c>
      <c r="U707" s="59" t="n"/>
      <c r="V707" s="59" t="n"/>
      <c r="W707" s="59" t="n"/>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IF(C708="","",ROW()-2)</f>
        <v/>
      </c>
      <c r="B708" s="825" t="n"/>
      <c r="C708" s="826" t="n"/>
      <c r="D708" s="827" t="n"/>
      <c r="E708" s="828" t="n"/>
      <c r="F708" s="829" t="n"/>
      <c r="G708" s="829" t="n"/>
      <c r="H708" s="830" t="n"/>
      <c r="I708" s="37" t="n"/>
      <c r="J708" s="37" t="n"/>
      <c r="K708" s="35">
        <f>IFERROR(I708+J708,0)</f>
        <v/>
      </c>
      <c r="U708" s="59" t="n"/>
      <c r="V708" s="59" t="n"/>
      <c r="W708" s="59" t="n"/>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IF(C709="","",ROW()-2)</f>
        <v/>
      </c>
      <c r="B709" s="825" t="n"/>
      <c r="C709" s="826" t="n"/>
      <c r="D709" s="827" t="n"/>
      <c r="E709" s="828" t="n"/>
      <c r="F709" s="829" t="n"/>
      <c r="G709" s="829" t="n"/>
      <c r="H709" s="830" t="n"/>
      <c r="I709" s="37" t="n"/>
      <c r="J709" s="37" t="n"/>
      <c r="K709" s="35">
        <f>IFERROR(I709+J709,0)</f>
        <v/>
      </c>
      <c r="U709" s="59" t="n"/>
      <c r="V709" s="59" t="n"/>
      <c r="W709" s="59" t="n"/>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IF(C710="","",ROW()-2)</f>
        <v/>
      </c>
      <c r="B710" s="825" t="n"/>
      <c r="C710" s="826" t="n"/>
      <c r="D710" s="827" t="n"/>
      <c r="E710" s="828" t="n"/>
      <c r="F710" s="829" t="n"/>
      <c r="G710" s="829" t="n"/>
      <c r="H710" s="830" t="n"/>
      <c r="I710" s="37" t="n"/>
      <c r="J710" s="37" t="n"/>
      <c r="K710" s="35">
        <f>IFERROR(I710+J710,0)</f>
        <v/>
      </c>
      <c r="U710" s="59" t="n"/>
      <c r="V710" s="59" t="n"/>
      <c r="W710" s="59" t="n"/>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IF(C711="","",ROW()-2)</f>
        <v/>
      </c>
      <c r="B711" s="825" t="n"/>
      <c r="C711" s="826" t="n"/>
      <c r="D711" s="827" t="n"/>
      <c r="E711" s="828" t="n"/>
      <c r="F711" s="829" t="n"/>
      <c r="G711" s="829" t="n"/>
      <c r="H711" s="830" t="n"/>
      <c r="I711" s="37" t="n"/>
      <c r="J711" s="37" t="n"/>
      <c r="K711" s="35">
        <f>IFERROR(I711+J711,0)</f>
        <v/>
      </c>
      <c r="U711" s="59" t="n"/>
      <c r="V711" s="59" t="n"/>
      <c r="W711" s="59" t="n"/>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IF(C712="","",ROW()-2)</f>
        <v/>
      </c>
      <c r="B712" s="825" t="n"/>
      <c r="C712" s="826" t="n"/>
      <c r="D712" s="827" t="n"/>
      <c r="E712" s="828" t="n"/>
      <c r="F712" s="829" t="n"/>
      <c r="G712" s="829" t="n"/>
      <c r="H712" s="830" t="n"/>
      <c r="I712" s="37" t="n"/>
      <c r="J712" s="37" t="n"/>
      <c r="K712" s="35">
        <f>IFERROR(I712+J712,0)</f>
        <v/>
      </c>
      <c r="U712" s="59" t="n"/>
      <c r="V712" s="59" t="n"/>
      <c r="W712" s="59" t="n"/>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IF(C713="","",ROW()-2)</f>
        <v/>
      </c>
      <c r="B713" s="825" t="n"/>
      <c r="C713" s="826" t="n"/>
      <c r="D713" s="827" t="n"/>
      <c r="E713" s="828" t="n"/>
      <c r="F713" s="829" t="n"/>
      <c r="G713" s="829" t="n"/>
      <c r="H713" s="830" t="n"/>
      <c r="I713" s="37" t="n"/>
      <c r="J713" s="37" t="n"/>
      <c r="K713" s="35">
        <f>IFERROR(I713+J713,0)</f>
        <v/>
      </c>
      <c r="U713" s="59" t="n"/>
      <c r="V713" s="59" t="n"/>
      <c r="W713" s="59" t="n"/>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IF(C714="","",ROW()-2)</f>
        <v/>
      </c>
      <c r="B714" s="825" t="n"/>
      <c r="C714" s="826" t="n"/>
      <c r="D714" s="827" t="n"/>
      <c r="E714" s="828" t="n"/>
      <c r="F714" s="829" t="n"/>
      <c r="G714" s="829" t="n"/>
      <c r="H714" s="830" t="n"/>
      <c r="I714" s="37" t="n"/>
      <c r="J714" s="37" t="n"/>
      <c r="K714" s="35">
        <f>IFERROR(I714+J714,0)</f>
        <v/>
      </c>
      <c r="U714" s="59" t="n"/>
      <c r="V714" s="59" t="n"/>
      <c r="W714" s="59" t="n"/>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IF(C715="","",ROW()-2)</f>
        <v/>
      </c>
      <c r="B715" s="825" t="n"/>
      <c r="C715" s="826" t="n"/>
      <c r="D715" s="827" t="n"/>
      <c r="E715" s="828" t="n"/>
      <c r="F715" s="829" t="n"/>
      <c r="G715" s="829" t="n"/>
      <c r="H715" s="830" t="n"/>
      <c r="I715" s="37" t="n"/>
      <c r="J715" s="37" t="n"/>
      <c r="K715" s="35">
        <f>IFERROR(I715+J715,0)</f>
        <v/>
      </c>
      <c r="U715" s="59" t="n"/>
      <c r="V715" s="59" t="n"/>
      <c r="W715" s="59" t="n"/>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IF(C716="","",ROW()-2)</f>
        <v/>
      </c>
      <c r="B716" s="825" t="n"/>
      <c r="C716" s="826" t="n"/>
      <c r="D716" s="827" t="n"/>
      <c r="E716" s="828" t="n"/>
      <c r="F716" s="829" t="n"/>
      <c r="G716" s="829" t="n"/>
      <c r="H716" s="830" t="n"/>
      <c r="I716" s="37" t="n"/>
      <c r="J716" s="37" t="n"/>
      <c r="K716" s="35">
        <f>IFERROR(I716+J716,0)</f>
        <v/>
      </c>
      <c r="U716" s="59" t="n"/>
      <c r="V716" s="59" t="n"/>
      <c r="W716" s="59" t="n"/>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IF(C717="","",ROW()-2)</f>
        <v/>
      </c>
      <c r="B717" s="825" t="n"/>
      <c r="C717" s="826" t="n"/>
      <c r="D717" s="827" t="n"/>
      <c r="E717" s="828" t="n"/>
      <c r="F717" s="829" t="n"/>
      <c r="G717" s="829" t="n"/>
      <c r="H717" s="830" t="n"/>
      <c r="I717" s="37" t="n"/>
      <c r="J717" s="37" t="n"/>
      <c r="K717" s="35">
        <f>IFERROR(I717+J717,0)</f>
        <v/>
      </c>
      <c r="U717" s="59" t="n"/>
      <c r="V717" s="59" t="n"/>
      <c r="W717" s="59" t="n"/>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IF(C718="","",ROW()-2)</f>
        <v/>
      </c>
      <c r="B718" s="825" t="n"/>
      <c r="C718" s="826" t="n"/>
      <c r="D718" s="827" t="n"/>
      <c r="E718" s="828" t="n"/>
      <c r="F718" s="829" t="n"/>
      <c r="G718" s="829" t="n"/>
      <c r="H718" s="830" t="n"/>
      <c r="I718" s="37" t="n"/>
      <c r="J718" s="37" t="n"/>
      <c r="K718" s="35">
        <f>IFERROR(I718+J718,0)</f>
        <v/>
      </c>
      <c r="U718" s="59" t="n"/>
      <c r="V718" s="59" t="n"/>
      <c r="W718" s="59" t="n"/>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IF(C719="","",ROW()-2)</f>
        <v/>
      </c>
      <c r="B719" s="825" t="n"/>
      <c r="C719" s="826" t="n"/>
      <c r="D719" s="827" t="n"/>
      <c r="E719" s="828" t="n"/>
      <c r="F719" s="829" t="n"/>
      <c r="G719" s="829" t="n"/>
      <c r="H719" s="830" t="n"/>
      <c r="I719" s="37" t="n"/>
      <c r="J719" s="37" t="n"/>
      <c r="K719" s="35">
        <f>IFERROR(I719+J719,0)</f>
        <v/>
      </c>
      <c r="U719" s="59" t="n"/>
      <c r="V719" s="59" t="n"/>
      <c r="W719" s="59" t="n"/>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IF(C720="","",ROW()-2)</f>
        <v/>
      </c>
      <c r="B720" s="825" t="n"/>
      <c r="C720" s="826" t="n"/>
      <c r="D720" s="827" t="n"/>
      <c r="E720" s="828" t="n"/>
      <c r="F720" s="829" t="n"/>
      <c r="G720" s="829" t="n"/>
      <c r="H720" s="830" t="n"/>
      <c r="I720" s="37" t="n"/>
      <c r="J720" s="37" t="n"/>
      <c r="K720" s="35">
        <f>IFERROR(I720+J720,0)</f>
        <v/>
      </c>
      <c r="U720" s="59" t="n"/>
      <c r="V720" s="59" t="n"/>
      <c r="W720" s="59" t="n"/>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IF(C721="","",ROW()-2)</f>
        <v/>
      </c>
      <c r="B721" s="825" t="n"/>
      <c r="C721" s="826" t="n"/>
      <c r="D721" s="827" t="n"/>
      <c r="E721" s="828" t="n"/>
      <c r="F721" s="829" t="n"/>
      <c r="G721" s="829" t="n"/>
      <c r="H721" s="830" t="n"/>
      <c r="I721" s="37" t="n"/>
      <c r="J721" s="37" t="n"/>
      <c r="K721" s="35">
        <f>IFERROR(I721+J721,0)</f>
        <v/>
      </c>
      <c r="U721" s="59" t="n"/>
      <c r="V721" s="59" t="n"/>
      <c r="W721" s="59" t="n"/>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IF(C722="","",ROW()-2)</f>
        <v/>
      </c>
      <c r="B722" s="825" t="n"/>
      <c r="C722" s="826" t="n"/>
      <c r="D722" s="827" t="n"/>
      <c r="E722" s="828" t="n"/>
      <c r="F722" s="829" t="n"/>
      <c r="G722" s="829" t="n"/>
      <c r="H722" s="830" t="n"/>
      <c r="I722" s="37" t="n"/>
      <c r="J722" s="37" t="n"/>
      <c r="K722" s="35">
        <f>IFERROR(I722+J722,0)</f>
        <v/>
      </c>
      <c r="U722" s="59" t="n"/>
      <c r="V722" s="59" t="n"/>
      <c r="W722" s="59" t="n"/>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IF(C723="","",ROW()-2)</f>
        <v/>
      </c>
      <c r="B723" s="825" t="n"/>
      <c r="C723" s="826" t="n"/>
      <c r="D723" s="827" t="n"/>
      <c r="E723" s="828" t="n"/>
      <c r="F723" s="829" t="n"/>
      <c r="G723" s="829" t="n"/>
      <c r="H723" s="830" t="n"/>
      <c r="I723" s="37" t="n"/>
      <c r="J723" s="37" t="n"/>
      <c r="K723" s="35">
        <f>IFERROR(I723+J723,0)</f>
        <v/>
      </c>
      <c r="U723" s="59" t="n"/>
      <c r="V723" s="59" t="n"/>
      <c r="W723" s="59" t="n"/>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IF(C724="","",ROW()-2)</f>
        <v/>
      </c>
      <c r="B724" s="825" t="n"/>
      <c r="C724" s="826" t="n"/>
      <c r="D724" s="827" t="n"/>
      <c r="E724" s="828" t="n"/>
      <c r="F724" s="829" t="n"/>
      <c r="G724" s="829" t="n"/>
      <c r="H724" s="830" t="n"/>
      <c r="I724" s="37" t="n"/>
      <c r="J724" s="37" t="n"/>
      <c r="K724" s="35">
        <f>IFERROR(I724+J724,0)</f>
        <v/>
      </c>
      <c r="U724" s="59" t="n"/>
      <c r="V724" s="59" t="n"/>
      <c r="W724" s="59" t="n"/>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IF(C725="","",ROW()-2)</f>
        <v/>
      </c>
      <c r="B725" s="825" t="n"/>
      <c r="C725" s="826" t="n"/>
      <c r="D725" s="827" t="n"/>
      <c r="E725" s="828" t="n"/>
      <c r="F725" s="829" t="n"/>
      <c r="G725" s="829" t="n"/>
      <c r="H725" s="830" t="n"/>
      <c r="I725" s="37" t="n"/>
      <c r="J725" s="37" t="n"/>
      <c r="K725" s="35">
        <f>IFERROR(I725+J725,0)</f>
        <v/>
      </c>
      <c r="U725" s="59" t="n"/>
      <c r="V725" s="59" t="n"/>
      <c r="W725" s="59" t="n"/>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IF(C726="","",ROW()-2)</f>
        <v/>
      </c>
      <c r="B726" s="825" t="n"/>
      <c r="C726" s="826" t="n"/>
      <c r="D726" s="827" t="n"/>
      <c r="E726" s="828" t="n"/>
      <c r="F726" s="829" t="n"/>
      <c r="G726" s="829" t="n"/>
      <c r="H726" s="830" t="n"/>
      <c r="I726" s="37" t="n"/>
      <c r="J726" s="37" t="n"/>
      <c r="K726" s="35">
        <f>IFERROR(I726+J726,0)</f>
        <v/>
      </c>
      <c r="U726" s="59" t="n"/>
      <c r="V726" s="59" t="n"/>
      <c r="W726" s="59" t="n"/>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IF(C727="","",ROW()-2)</f>
        <v/>
      </c>
      <c r="B727" s="825" t="n"/>
      <c r="C727" s="826" t="n"/>
      <c r="D727" s="827" t="n"/>
      <c r="E727" s="828" t="n"/>
      <c r="F727" s="829" t="n"/>
      <c r="G727" s="829" t="n"/>
      <c r="H727" s="830" t="n"/>
      <c r="I727" s="37" t="n"/>
      <c r="J727" s="37" t="n"/>
      <c r="K727" s="35">
        <f>IFERROR(I727+J727,0)</f>
        <v/>
      </c>
      <c r="U727" s="59" t="n"/>
      <c r="V727" s="59" t="n"/>
      <c r="W727" s="59" t="n"/>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IF(C728="","",ROW()-2)</f>
        <v/>
      </c>
      <c r="B728" s="825" t="n"/>
      <c r="C728" s="826" t="n"/>
      <c r="D728" s="827" t="n"/>
      <c r="E728" s="828" t="n"/>
      <c r="F728" s="829" t="n"/>
      <c r="G728" s="829" t="n"/>
      <c r="H728" s="830" t="n"/>
      <c r="I728" s="37" t="n"/>
      <c r="J728" s="37" t="n"/>
      <c r="K728" s="35">
        <f>IFERROR(I728+J728,0)</f>
        <v/>
      </c>
      <c r="U728" s="59" t="n"/>
      <c r="V728" s="59" t="n"/>
      <c r="W728" s="59" t="n"/>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IF(C729="","",ROW()-2)</f>
        <v/>
      </c>
      <c r="B729" s="825" t="n"/>
      <c r="C729" s="826" t="n"/>
      <c r="D729" s="827" t="n"/>
      <c r="E729" s="828" t="n"/>
      <c r="F729" s="829" t="n"/>
      <c r="G729" s="829" t="n"/>
      <c r="H729" s="830" t="n"/>
      <c r="I729" s="37" t="n"/>
      <c r="J729" s="37" t="n"/>
      <c r="K729" s="35">
        <f>IFERROR(I729+J729,0)</f>
        <v/>
      </c>
      <c r="U729" s="59" t="n"/>
      <c r="V729" s="59" t="n"/>
      <c r="W729" s="59" t="n"/>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IF(C730="","",ROW()-2)</f>
        <v/>
      </c>
      <c r="B730" s="825" t="n"/>
      <c r="C730" s="826" t="n"/>
      <c r="D730" s="827" t="n"/>
      <c r="E730" s="828" t="n"/>
      <c r="F730" s="829" t="n"/>
      <c r="G730" s="829" t="n"/>
      <c r="H730" s="830" t="n"/>
      <c r="I730" s="37" t="n"/>
      <c r="J730" s="37" t="n"/>
      <c r="K730" s="35">
        <f>IFERROR(I730+J730,0)</f>
        <v/>
      </c>
      <c r="U730" s="59" t="n"/>
      <c r="V730" s="59" t="n"/>
      <c r="W730" s="59" t="n"/>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IF(C731="","",ROW()-2)</f>
        <v/>
      </c>
      <c r="B731" s="825" t="n"/>
      <c r="C731" s="826" t="n"/>
      <c r="D731" s="827" t="n"/>
      <c r="E731" s="828" t="n"/>
      <c r="F731" s="829" t="n"/>
      <c r="G731" s="829" t="n"/>
      <c r="H731" s="830" t="n"/>
      <c r="I731" s="37" t="n"/>
      <c r="J731" s="37" t="n"/>
      <c r="K731" s="35">
        <f>IFERROR(I731+J731,0)</f>
        <v/>
      </c>
      <c r="U731" s="59" t="n"/>
      <c r="V731" s="59" t="n"/>
      <c r="W731" s="59" t="n"/>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IF(C732="","",ROW()-2)</f>
        <v/>
      </c>
      <c r="B732" s="825" t="n"/>
      <c r="C732" s="826" t="n"/>
      <c r="D732" s="827" t="n"/>
      <c r="E732" s="828" t="n"/>
      <c r="F732" s="829" t="n"/>
      <c r="G732" s="829" t="n"/>
      <c r="H732" s="830" t="n"/>
      <c r="I732" s="37" t="n"/>
      <c r="J732" s="37" t="n"/>
      <c r="K732" s="35">
        <f>IFERROR(I732+J732,0)</f>
        <v/>
      </c>
      <c r="U732" s="59" t="n"/>
      <c r="V732" s="59" t="n"/>
      <c r="W732" s="59" t="n"/>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IF(C733="","",ROW()-2)</f>
        <v/>
      </c>
      <c r="B733" s="825" t="n"/>
      <c r="C733" s="826" t="n"/>
      <c r="D733" s="827" t="n"/>
      <c r="E733" s="828" t="n"/>
      <c r="F733" s="829" t="n"/>
      <c r="G733" s="829" t="n"/>
      <c r="H733" s="830" t="n"/>
      <c r="I733" s="37" t="n"/>
      <c r="J733" s="37" t="n"/>
      <c r="K733" s="35">
        <f>IFERROR(I733+J733,0)</f>
        <v/>
      </c>
      <c r="U733" s="59" t="n"/>
      <c r="V733" s="59" t="n"/>
      <c r="W733" s="59" t="n"/>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IF(C734="","",ROW()-2)</f>
        <v/>
      </c>
      <c r="B734" s="825" t="n"/>
      <c r="C734" s="826" t="n"/>
      <c r="D734" s="827" t="n"/>
      <c r="E734" s="828" t="n"/>
      <c r="F734" s="829" t="n"/>
      <c r="G734" s="829" t="n"/>
      <c r="H734" s="830" t="n"/>
      <c r="I734" s="37" t="n"/>
      <c r="J734" s="37" t="n"/>
      <c r="K734" s="35">
        <f>IFERROR(I734+J734,0)</f>
        <v/>
      </c>
      <c r="U734" s="59" t="n"/>
      <c r="V734" s="59" t="n"/>
      <c r="W734" s="59" t="n"/>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IF(C735="","",ROW()-2)</f>
        <v/>
      </c>
      <c r="B735" s="825" t="n"/>
      <c r="C735" s="826" t="n"/>
      <c r="D735" s="827" t="n"/>
      <c r="E735" s="828" t="n"/>
      <c r="F735" s="829" t="n"/>
      <c r="G735" s="829" t="n"/>
      <c r="H735" s="830" t="n"/>
      <c r="I735" s="37" t="n"/>
      <c r="J735" s="37" t="n"/>
      <c r="K735" s="35">
        <f>IFERROR(I735+J735,0)</f>
        <v/>
      </c>
      <c r="U735" s="59" t="n"/>
      <c r="V735" s="59" t="n"/>
      <c r="W735" s="59" t="n"/>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IF(C736="","",ROW()-2)</f>
        <v/>
      </c>
      <c r="B736" s="825" t="n"/>
      <c r="C736" s="826" t="n"/>
      <c r="D736" s="827" t="n"/>
      <c r="E736" s="828" t="n"/>
      <c r="F736" s="829" t="n"/>
      <c r="G736" s="829" t="n"/>
      <c r="H736" s="830" t="n"/>
      <c r="I736" s="37" t="n"/>
      <c r="J736" s="37" t="n"/>
      <c r="K736" s="35">
        <f>IFERROR(I736+J736,0)</f>
        <v/>
      </c>
      <c r="U736" s="59" t="n"/>
      <c r="V736" s="59" t="n"/>
      <c r="W736" s="59" t="n"/>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IF(C737="","",ROW()-2)</f>
        <v/>
      </c>
      <c r="B737" s="825" t="n"/>
      <c r="C737" s="826" t="n"/>
      <c r="D737" s="827" t="n"/>
      <c r="E737" s="828" t="n"/>
      <c r="F737" s="829" t="n"/>
      <c r="G737" s="829" t="n"/>
      <c r="H737" s="830" t="n"/>
      <c r="I737" s="37" t="n"/>
      <c r="J737" s="37" t="n"/>
      <c r="K737" s="35">
        <f>IFERROR(I737+J737,0)</f>
        <v/>
      </c>
      <c r="U737" s="59" t="n"/>
      <c r="V737" s="59" t="n"/>
      <c r="W737" s="59" t="n"/>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IF(C738="","",ROW()-2)</f>
        <v/>
      </c>
      <c r="B738" s="825" t="n"/>
      <c r="C738" s="826" t="n"/>
      <c r="D738" s="827" t="n"/>
      <c r="E738" s="828" t="n"/>
      <c r="F738" s="829" t="n"/>
      <c r="G738" s="829" t="n"/>
      <c r="H738" s="830" t="n"/>
      <c r="I738" s="37" t="n"/>
      <c r="J738" s="37" t="n"/>
      <c r="K738" s="35">
        <f>IFERROR(I738+J738,0)</f>
        <v/>
      </c>
      <c r="U738" s="59" t="n"/>
      <c r="V738" s="59" t="n"/>
      <c r="W738" s="59" t="n"/>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IF(C739="","",ROW()-2)</f>
        <v/>
      </c>
      <c r="B739" s="825" t="n"/>
      <c r="C739" s="826" t="n"/>
      <c r="D739" s="827" t="n"/>
      <c r="E739" s="828" t="n"/>
      <c r="F739" s="829" t="n"/>
      <c r="G739" s="829" t="n"/>
      <c r="H739" s="830" t="n"/>
      <c r="I739" s="37" t="n"/>
      <c r="J739" s="37" t="n"/>
      <c r="K739" s="35">
        <f>IFERROR(I739+J739,0)</f>
        <v/>
      </c>
      <c r="U739" s="59" t="n"/>
      <c r="V739" s="59" t="n"/>
      <c r="W739" s="59" t="n"/>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IF(C740="","",ROW()-2)</f>
        <v/>
      </c>
      <c r="B740" s="825" t="n"/>
      <c r="C740" s="826" t="n"/>
      <c r="D740" s="827" t="n"/>
      <c r="E740" s="828" t="n"/>
      <c r="F740" s="829" t="n"/>
      <c r="G740" s="829" t="n"/>
      <c r="H740" s="830" t="n"/>
      <c r="I740" s="37" t="n"/>
      <c r="J740" s="37" t="n"/>
      <c r="K740" s="35">
        <f>IFERROR(I740+J740,0)</f>
        <v/>
      </c>
      <c r="U740" s="59" t="n"/>
      <c r="V740" s="59" t="n"/>
      <c r="W740" s="59" t="n"/>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IF(C741="","",ROW()-2)</f>
        <v/>
      </c>
      <c r="B741" s="825" t="n"/>
      <c r="C741" s="826" t="n"/>
      <c r="D741" s="827" t="n"/>
      <c r="E741" s="828" t="n"/>
      <c r="F741" s="829" t="n"/>
      <c r="G741" s="829" t="n"/>
      <c r="H741" s="830" t="n"/>
      <c r="I741" s="37" t="n"/>
      <c r="J741" s="37" t="n"/>
      <c r="K741" s="35">
        <f>IFERROR(I741+J741,0)</f>
        <v/>
      </c>
      <c r="U741" s="59" t="n"/>
      <c r="V741" s="59" t="n"/>
      <c r="W741" s="59" t="n"/>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IF(C742="","",ROW()-2)</f>
        <v/>
      </c>
      <c r="B742" s="825" t="n"/>
      <c r="C742" s="826" t="n"/>
      <c r="D742" s="827" t="n"/>
      <c r="E742" s="828" t="n"/>
      <c r="F742" s="829" t="n"/>
      <c r="G742" s="829" t="n"/>
      <c r="H742" s="830" t="n"/>
      <c r="I742" s="37" t="n"/>
      <c r="J742" s="37" t="n"/>
      <c r="K742" s="35">
        <f>IFERROR(I742+J742,0)</f>
        <v/>
      </c>
      <c r="U742" s="59" t="n"/>
      <c r="V742" s="59" t="n"/>
      <c r="W742" s="59" t="n"/>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IF(C743="","",ROW()-2)</f>
        <v/>
      </c>
      <c r="B743" s="825" t="n"/>
      <c r="C743" s="826" t="n"/>
      <c r="D743" s="827" t="n"/>
      <c r="E743" s="828" t="n"/>
      <c r="F743" s="829" t="n"/>
      <c r="G743" s="829" t="n"/>
      <c r="H743" s="830" t="n"/>
      <c r="I743" s="37" t="n"/>
      <c r="J743" s="37" t="n"/>
      <c r="K743" s="35">
        <f>IFERROR(I743+J743,0)</f>
        <v/>
      </c>
      <c r="U743" s="59" t="n"/>
      <c r="V743" s="59" t="n"/>
      <c r="W743" s="59" t="n"/>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IF(C744="","",ROW()-2)</f>
        <v/>
      </c>
      <c r="B744" s="825" t="n"/>
      <c r="C744" s="826" t="n"/>
      <c r="D744" s="827" t="n"/>
      <c r="E744" s="828" t="n"/>
      <c r="F744" s="829" t="n"/>
      <c r="G744" s="829" t="n"/>
      <c r="H744" s="830" t="n"/>
      <c r="I744" s="37" t="n"/>
      <c r="J744" s="37" t="n"/>
      <c r="K744" s="35">
        <f>IFERROR(I744+J744,0)</f>
        <v/>
      </c>
      <c r="U744" s="59" t="n"/>
      <c r="V744" s="59" t="n"/>
      <c r="W744" s="59" t="n"/>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IF(C745="","",ROW()-2)</f>
        <v/>
      </c>
      <c r="B745" s="825" t="n"/>
      <c r="C745" s="826" t="n"/>
      <c r="D745" s="827" t="n"/>
      <c r="E745" s="828" t="n"/>
      <c r="F745" s="829" t="n"/>
      <c r="G745" s="829" t="n"/>
      <c r="H745" s="830" t="n"/>
      <c r="I745" s="37" t="n"/>
      <c r="J745" s="37" t="n"/>
      <c r="K745" s="35">
        <f>IFERROR(I745+J745,0)</f>
        <v/>
      </c>
      <c r="U745" s="59" t="n"/>
      <c r="V745" s="59" t="n"/>
      <c r="W745" s="59" t="n"/>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IF(C746="","",ROW()-2)</f>
        <v/>
      </c>
      <c r="B746" s="825" t="n"/>
      <c r="C746" s="826" t="n"/>
      <c r="D746" s="827" t="n"/>
      <c r="E746" s="828" t="n"/>
      <c r="F746" s="829" t="n"/>
      <c r="G746" s="829" t="n"/>
      <c r="H746" s="830" t="n"/>
      <c r="I746" s="37" t="n"/>
      <c r="J746" s="37" t="n"/>
      <c r="K746" s="35">
        <f>IFERROR(I746+J746,0)</f>
        <v/>
      </c>
      <c r="U746" s="59" t="n"/>
      <c r="V746" s="59" t="n"/>
      <c r="W746" s="59" t="n"/>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IF(C747="","",ROW()-2)</f>
        <v/>
      </c>
      <c r="B747" s="825" t="n"/>
      <c r="C747" s="826" t="n"/>
      <c r="D747" s="827" t="n"/>
      <c r="E747" s="828" t="n"/>
      <c r="F747" s="829" t="n"/>
      <c r="G747" s="829" t="n"/>
      <c r="H747" s="830" t="n"/>
      <c r="I747" s="37" t="n"/>
      <c r="J747" s="37" t="n"/>
      <c r="K747" s="35">
        <f>IFERROR(I747+J747,0)</f>
        <v/>
      </c>
      <c r="U747" s="59" t="n"/>
      <c r="V747" s="59" t="n"/>
      <c r="W747" s="59" t="n"/>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IF(C748="","",ROW()-2)</f>
        <v/>
      </c>
      <c r="B748" s="825" t="n"/>
      <c r="C748" s="826" t="n"/>
      <c r="D748" s="827" t="n"/>
      <c r="E748" s="828" t="n"/>
      <c r="F748" s="829" t="n"/>
      <c r="G748" s="829" t="n"/>
      <c r="H748" s="830" t="n"/>
      <c r="I748" s="37" t="n"/>
      <c r="J748" s="37" t="n"/>
      <c r="K748" s="35">
        <f>IFERROR(I748+J748,0)</f>
        <v/>
      </c>
      <c r="U748" s="59" t="n"/>
      <c r="V748" s="59" t="n"/>
      <c r="W748" s="59" t="n"/>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IF(C749="","",ROW()-2)</f>
        <v/>
      </c>
      <c r="B749" s="825" t="n"/>
      <c r="C749" s="826" t="n"/>
      <c r="D749" s="827" t="n"/>
      <c r="E749" s="828" t="n"/>
      <c r="F749" s="829" t="n"/>
      <c r="G749" s="829" t="n"/>
      <c r="H749" s="830" t="n"/>
      <c r="I749" s="37" t="n"/>
      <c r="J749" s="37" t="n"/>
      <c r="K749" s="35">
        <f>IFERROR(I749+J749,0)</f>
        <v/>
      </c>
      <c r="U749" s="59" t="n"/>
      <c r="V749" s="59" t="n"/>
      <c r="W749" s="59" t="n"/>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IF(C750="","",ROW()-2)</f>
        <v/>
      </c>
      <c r="B750" s="825" t="n"/>
      <c r="C750" s="826" t="n"/>
      <c r="D750" s="827" t="n"/>
      <c r="E750" s="828" t="n"/>
      <c r="F750" s="829" t="n"/>
      <c r="G750" s="829" t="n"/>
      <c r="H750" s="830" t="n"/>
      <c r="I750" s="37" t="n"/>
      <c r="J750" s="37" t="n"/>
      <c r="K750" s="35">
        <f>IFERROR(I750+J750,0)</f>
        <v/>
      </c>
      <c r="U750" s="59" t="n"/>
      <c r="V750" s="59" t="n"/>
      <c r="W750" s="59" t="n"/>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IF(C751="","",ROW()-2)</f>
        <v/>
      </c>
      <c r="B751" s="825" t="n"/>
      <c r="C751" s="826" t="n"/>
      <c r="D751" s="827" t="n"/>
      <c r="E751" s="828" t="n"/>
      <c r="F751" s="829" t="n"/>
      <c r="G751" s="829" t="n"/>
      <c r="H751" s="830" t="n"/>
      <c r="I751" s="37" t="n"/>
      <c r="J751" s="37" t="n"/>
      <c r="K751" s="35">
        <f>IFERROR(I751+J751,0)</f>
        <v/>
      </c>
      <c r="U751" s="59" t="n"/>
      <c r="V751" s="59" t="n"/>
      <c r="W751" s="59" t="n"/>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IF(C752="","",ROW()-2)</f>
        <v/>
      </c>
      <c r="B752" s="825" t="n"/>
      <c r="C752" s="826" t="n"/>
      <c r="D752" s="827" t="n"/>
      <c r="E752" s="828" t="n"/>
      <c r="F752" s="829" t="n"/>
      <c r="G752" s="829" t="n"/>
      <c r="H752" s="830" t="n"/>
      <c r="I752" s="37" t="n"/>
      <c r="J752" s="37" t="n"/>
      <c r="K752" s="35">
        <f>IFERROR(I752+J752,0)</f>
        <v/>
      </c>
      <c r="U752" s="59" t="n"/>
      <c r="V752" s="59" t="n"/>
      <c r="W752" s="59" t="n"/>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IF(C753="","",ROW()-2)</f>
        <v/>
      </c>
      <c r="B753" s="825" t="n"/>
      <c r="C753" s="826" t="n"/>
      <c r="D753" s="827" t="n"/>
      <c r="E753" s="828" t="n"/>
      <c r="F753" s="829" t="n"/>
      <c r="G753" s="829" t="n"/>
      <c r="H753" s="830" t="n"/>
      <c r="I753" s="37" t="n"/>
      <c r="J753" s="37" t="n"/>
      <c r="K753" s="35">
        <f>IFERROR(I753+J753,0)</f>
        <v/>
      </c>
      <c r="U753" s="59" t="n"/>
      <c r="V753" s="59" t="n"/>
      <c r="W753" s="59" t="n"/>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IF(C754="","",ROW()-2)</f>
        <v/>
      </c>
      <c r="B754" s="825" t="n"/>
      <c r="C754" s="826" t="n"/>
      <c r="D754" s="827" t="n"/>
      <c r="E754" s="828" t="n"/>
      <c r="F754" s="829" t="n"/>
      <c r="G754" s="829" t="n"/>
      <c r="H754" s="830" t="n"/>
      <c r="I754" s="37" t="n"/>
      <c r="J754" s="37" t="n"/>
      <c r="K754" s="35">
        <f>IFERROR(I754+J754,0)</f>
        <v/>
      </c>
      <c r="U754" s="59" t="n"/>
      <c r="V754" s="59" t="n"/>
      <c r="W754" s="59" t="n"/>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IF(C755="","",ROW()-2)</f>
        <v/>
      </c>
      <c r="B755" s="825" t="n"/>
      <c r="C755" s="826" t="n"/>
      <c r="D755" s="827" t="n"/>
      <c r="E755" s="828" t="n"/>
      <c r="F755" s="829" t="n"/>
      <c r="G755" s="829" t="n"/>
      <c r="H755" s="830" t="n"/>
      <c r="I755" s="37" t="n"/>
      <c r="J755" s="37" t="n"/>
      <c r="K755" s="35">
        <f>IFERROR(I755+J755,0)</f>
        <v/>
      </c>
      <c r="U755" s="59" t="n"/>
      <c r="V755" s="59" t="n"/>
      <c r="W755" s="59" t="n"/>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IF(C756="","",ROW()-2)</f>
        <v/>
      </c>
      <c r="B756" s="825" t="n"/>
      <c r="C756" s="826" t="n"/>
      <c r="D756" s="827" t="n"/>
      <c r="E756" s="828" t="n"/>
      <c r="F756" s="829" t="n"/>
      <c r="G756" s="829" t="n"/>
      <c r="H756" s="830" t="n"/>
      <c r="I756" s="37" t="n"/>
      <c r="J756" s="37" t="n"/>
      <c r="K756" s="35">
        <f>IFERROR(I756+J756,0)</f>
        <v/>
      </c>
      <c r="U756" s="59" t="n"/>
      <c r="V756" s="59" t="n"/>
      <c r="W756" s="59" t="n"/>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IF(C757="","",ROW()-2)</f>
        <v/>
      </c>
      <c r="B757" s="825" t="n"/>
      <c r="C757" s="826" t="n"/>
      <c r="D757" s="827" t="n"/>
      <c r="E757" s="828" t="n"/>
      <c r="F757" s="829" t="n"/>
      <c r="G757" s="829" t="n"/>
      <c r="H757" s="830" t="n"/>
      <c r="I757" s="37" t="n"/>
      <c r="J757" s="37" t="n"/>
      <c r="K757" s="35">
        <f>IFERROR(I757+J757,0)</f>
        <v/>
      </c>
      <c r="U757" s="59" t="n"/>
      <c r="V757" s="59" t="n"/>
      <c r="W757" s="59" t="n"/>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IF(C758="","",ROW()-2)</f>
        <v/>
      </c>
      <c r="B758" s="825" t="n"/>
      <c r="C758" s="826" t="n"/>
      <c r="D758" s="827" t="n"/>
      <c r="E758" s="828" t="n"/>
      <c r="F758" s="829" t="n"/>
      <c r="G758" s="829" t="n"/>
      <c r="H758" s="830" t="n"/>
      <c r="I758" s="37" t="n"/>
      <c r="J758" s="37" t="n"/>
      <c r="K758" s="35">
        <f>IFERROR(I758+J758,0)</f>
        <v/>
      </c>
      <c r="U758" s="59" t="n"/>
      <c r="V758" s="59" t="n"/>
      <c r="W758" s="59" t="n"/>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IF(C759="","",ROW()-2)</f>
        <v/>
      </c>
      <c r="B759" s="825" t="n"/>
      <c r="C759" s="826" t="n"/>
      <c r="D759" s="827" t="n"/>
      <c r="E759" s="828" t="n"/>
      <c r="F759" s="829" t="n"/>
      <c r="G759" s="829" t="n"/>
      <c r="H759" s="830" t="n"/>
      <c r="I759" s="37" t="n"/>
      <c r="J759" s="37" t="n"/>
      <c r="K759" s="35">
        <f>IFERROR(I759+J759,0)</f>
        <v/>
      </c>
      <c r="U759" s="59" t="n"/>
      <c r="V759" s="59" t="n"/>
      <c r="W759" s="59" t="n"/>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IF(C760="","",ROW()-2)</f>
        <v/>
      </c>
      <c r="B760" s="825" t="n"/>
      <c r="C760" s="826" t="n"/>
      <c r="D760" s="827" t="n"/>
      <c r="E760" s="828" t="n"/>
      <c r="F760" s="829" t="n"/>
      <c r="G760" s="829" t="n"/>
      <c r="H760" s="830" t="n"/>
      <c r="I760" s="37" t="n"/>
      <c r="J760" s="37" t="n"/>
      <c r="K760" s="35">
        <f>IFERROR(I760+J760,0)</f>
        <v/>
      </c>
      <c r="U760" s="59" t="n"/>
      <c r="V760" s="59" t="n"/>
      <c r="W760" s="59" t="n"/>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IF(C761="","",ROW()-2)</f>
        <v/>
      </c>
      <c r="B761" s="825" t="n"/>
      <c r="C761" s="826" t="n"/>
      <c r="D761" s="827" t="n"/>
      <c r="E761" s="828" t="n"/>
      <c r="F761" s="829" t="n"/>
      <c r="G761" s="829" t="n"/>
      <c r="H761" s="830" t="n"/>
      <c r="I761" s="37" t="n"/>
      <c r="J761" s="37" t="n"/>
      <c r="K761" s="35">
        <f>IFERROR(I761+J761,0)</f>
        <v/>
      </c>
      <c r="U761" s="59" t="n"/>
      <c r="V761" s="59" t="n"/>
      <c r="W761" s="59" t="n"/>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IF(C762="","",ROW()-2)</f>
        <v/>
      </c>
      <c r="B762" s="825" t="n"/>
      <c r="C762" s="826" t="n"/>
      <c r="D762" s="827" t="n"/>
      <c r="E762" s="828" t="n"/>
      <c r="F762" s="829" t="n"/>
      <c r="G762" s="829" t="n"/>
      <c r="H762" s="830" t="n"/>
      <c r="I762" s="37" t="n"/>
      <c r="J762" s="37" t="n"/>
      <c r="K762" s="35">
        <f>IFERROR(I762+J762,0)</f>
        <v/>
      </c>
      <c r="U762" s="59" t="n"/>
      <c r="V762" s="59" t="n"/>
      <c r="W762" s="59" t="n"/>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IF(C763="","",ROW()-2)</f>
        <v/>
      </c>
      <c r="B763" s="825" t="n"/>
      <c r="C763" s="826" t="n"/>
      <c r="D763" s="827" t="n"/>
      <c r="E763" s="828" t="n"/>
      <c r="F763" s="829" t="n"/>
      <c r="G763" s="829" t="n"/>
      <c r="H763" s="830" t="n"/>
      <c r="I763" s="37" t="n"/>
      <c r="J763" s="37" t="n"/>
      <c r="K763" s="35">
        <f>IFERROR(I763+J763,0)</f>
        <v/>
      </c>
      <c r="U763" s="59" t="n"/>
      <c r="V763" s="59" t="n"/>
      <c r="W763" s="59" t="n"/>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IF(C764="","",ROW()-2)</f>
        <v/>
      </c>
      <c r="B764" s="825" t="n"/>
      <c r="C764" s="826" t="n"/>
      <c r="D764" s="827" t="n"/>
      <c r="E764" s="828" t="n"/>
      <c r="F764" s="829" t="n"/>
      <c r="G764" s="829" t="n"/>
      <c r="H764" s="830" t="n"/>
      <c r="I764" s="37" t="n"/>
      <c r="J764" s="37" t="n"/>
      <c r="K764" s="35">
        <f>IFERROR(I764+J764,0)</f>
        <v/>
      </c>
      <c r="U764" s="59" t="n"/>
      <c r="V764" s="59" t="n"/>
      <c r="W764" s="59" t="n"/>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IF(C765="","",ROW()-2)</f>
        <v/>
      </c>
      <c r="B765" s="825" t="n"/>
      <c r="C765" s="826" t="n"/>
      <c r="D765" s="827" t="n"/>
      <c r="E765" s="828" t="n"/>
      <c r="F765" s="829" t="n"/>
      <c r="G765" s="829" t="n"/>
      <c r="H765" s="830" t="n"/>
      <c r="I765" s="37" t="n"/>
      <c r="J765" s="37" t="n"/>
      <c r="K765" s="35">
        <f>IFERROR(I765+J765,0)</f>
        <v/>
      </c>
      <c r="U765" s="59" t="n"/>
      <c r="V765" s="59" t="n"/>
      <c r="W765" s="59" t="n"/>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IF(C766="","",ROW()-2)</f>
        <v/>
      </c>
      <c r="B766" s="825" t="n"/>
      <c r="C766" s="826" t="n"/>
      <c r="D766" s="827" t="n"/>
      <c r="E766" s="828" t="n"/>
      <c r="F766" s="829" t="n"/>
      <c r="G766" s="829" t="n"/>
      <c r="H766" s="830" t="n"/>
      <c r="I766" s="37" t="n"/>
      <c r="J766" s="37" t="n"/>
      <c r="K766" s="35">
        <f>IFERROR(I766+J766,0)</f>
        <v/>
      </c>
      <c r="U766" s="59" t="n"/>
      <c r="V766" s="59" t="n"/>
      <c r="W766" s="59" t="n"/>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IF(C767="","",ROW()-2)</f>
        <v/>
      </c>
      <c r="B767" s="825" t="n"/>
      <c r="C767" s="826" t="n"/>
      <c r="D767" s="827" t="n"/>
      <c r="E767" s="828" t="n"/>
      <c r="F767" s="829" t="n"/>
      <c r="G767" s="829" t="n"/>
      <c r="H767" s="830" t="n"/>
      <c r="I767" s="37" t="n"/>
      <c r="J767" s="37" t="n"/>
      <c r="K767" s="35">
        <f>IFERROR(I767+J767,0)</f>
        <v/>
      </c>
      <c r="U767" s="59" t="n"/>
      <c r="V767" s="59" t="n"/>
      <c r="W767" s="59" t="n"/>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IF(C768="","",ROW()-2)</f>
        <v/>
      </c>
      <c r="B768" s="825" t="n"/>
      <c r="C768" s="826" t="n"/>
      <c r="D768" s="827" t="n"/>
      <c r="E768" s="828" t="n"/>
      <c r="F768" s="829" t="n"/>
      <c r="G768" s="829" t="n"/>
      <c r="H768" s="830" t="n"/>
      <c r="I768" s="37" t="n"/>
      <c r="J768" s="37" t="n"/>
      <c r="K768" s="35">
        <f>IFERROR(I768+J768,0)</f>
        <v/>
      </c>
      <c r="U768" s="59" t="n"/>
      <c r="V768" s="59" t="n"/>
      <c r="W768" s="59" t="n"/>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IF(C769="","",ROW()-2)</f>
        <v/>
      </c>
      <c r="B769" s="825" t="n"/>
      <c r="C769" s="826" t="n"/>
      <c r="D769" s="827" t="n"/>
      <c r="E769" s="828" t="n"/>
      <c r="F769" s="829" t="n"/>
      <c r="G769" s="829" t="n"/>
      <c r="H769" s="830" t="n"/>
      <c r="I769" s="37" t="n"/>
      <c r="J769" s="37" t="n"/>
      <c r="K769" s="35">
        <f>IFERROR(I769+J769,0)</f>
        <v/>
      </c>
      <c r="U769" s="59" t="n"/>
      <c r="V769" s="59" t="n"/>
      <c r="W769" s="59" t="n"/>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IF(C770="","",ROW()-2)</f>
        <v/>
      </c>
      <c r="B770" s="825" t="n"/>
      <c r="C770" s="826" t="n"/>
      <c r="D770" s="827" t="n"/>
      <c r="E770" s="828" t="n"/>
      <c r="F770" s="829" t="n"/>
      <c r="G770" s="829" t="n"/>
      <c r="H770" s="830" t="n"/>
      <c r="I770" s="37" t="n"/>
      <c r="J770" s="37" t="n"/>
      <c r="K770" s="35">
        <f>IFERROR(I770+J770,0)</f>
        <v/>
      </c>
      <c r="U770" s="59" t="n"/>
      <c r="V770" s="59" t="n"/>
      <c r="W770" s="59" t="n"/>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IF(C771="","",ROW()-2)</f>
        <v/>
      </c>
      <c r="B771" s="825" t="n"/>
      <c r="C771" s="826" t="n"/>
      <c r="D771" s="827" t="n"/>
      <c r="E771" s="828" t="n"/>
      <c r="F771" s="829" t="n"/>
      <c r="G771" s="829" t="n"/>
      <c r="H771" s="830" t="n"/>
      <c r="I771" s="37" t="n"/>
      <c r="J771" s="37" t="n"/>
      <c r="K771" s="35">
        <f>IFERROR(I771+J771,0)</f>
        <v/>
      </c>
      <c r="U771" s="59" t="n"/>
      <c r="V771" s="59" t="n"/>
      <c r="W771" s="59" t="n"/>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IF(C772="","",ROW()-2)</f>
        <v/>
      </c>
      <c r="B772" s="825" t="n"/>
      <c r="C772" s="826" t="n"/>
      <c r="D772" s="827" t="n"/>
      <c r="E772" s="828" t="n"/>
      <c r="F772" s="829" t="n"/>
      <c r="G772" s="829" t="n"/>
      <c r="H772" s="830" t="n"/>
      <c r="I772" s="37" t="n"/>
      <c r="J772" s="37" t="n"/>
      <c r="K772" s="35">
        <f>IFERROR(I772+J772,0)</f>
        <v/>
      </c>
      <c r="U772" s="59" t="n"/>
      <c r="V772" s="59" t="n"/>
      <c r="W772" s="59" t="n"/>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IF(C773="","",ROW()-2)</f>
        <v/>
      </c>
      <c r="B773" s="825" t="n"/>
      <c r="C773" s="826" t="n"/>
      <c r="D773" s="827" t="n"/>
      <c r="E773" s="828" t="n"/>
      <c r="F773" s="829" t="n"/>
      <c r="G773" s="829" t="n"/>
      <c r="H773" s="830" t="n"/>
      <c r="I773" s="37" t="n"/>
      <c r="J773" s="37" t="n"/>
      <c r="K773" s="35">
        <f>IFERROR(I773+J773,0)</f>
        <v/>
      </c>
      <c r="U773" s="59" t="n"/>
      <c r="V773" s="59" t="n"/>
      <c r="W773" s="59" t="n"/>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IF(C774="","",ROW()-2)</f>
        <v/>
      </c>
      <c r="B774" s="825" t="n"/>
      <c r="C774" s="826" t="n"/>
      <c r="D774" s="827" t="n"/>
      <c r="E774" s="828" t="n"/>
      <c r="F774" s="829" t="n"/>
      <c r="G774" s="829" t="n"/>
      <c r="H774" s="830" t="n"/>
      <c r="I774" s="37" t="n"/>
      <c r="J774" s="37" t="n"/>
      <c r="K774" s="35">
        <f>IFERROR(I774+J774,0)</f>
        <v/>
      </c>
      <c r="U774" s="59" t="n"/>
      <c r="V774" s="59" t="n"/>
      <c r="W774" s="59" t="n"/>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IF(C775="","",ROW()-2)</f>
        <v/>
      </c>
      <c r="B775" s="825" t="n"/>
      <c r="C775" s="826" t="n"/>
      <c r="D775" s="827" t="n"/>
      <c r="E775" s="828" t="n"/>
      <c r="F775" s="829" t="n"/>
      <c r="G775" s="829" t="n"/>
      <c r="H775" s="830" t="n"/>
      <c r="I775" s="37" t="n"/>
      <c r="J775" s="37" t="n"/>
      <c r="K775" s="35">
        <f>IFERROR(I775+J775,0)</f>
        <v/>
      </c>
      <c r="U775" s="59" t="n"/>
      <c r="V775" s="59" t="n"/>
      <c r="W775" s="59" t="n"/>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IF(C776="","",ROW()-2)</f>
        <v/>
      </c>
      <c r="B776" s="825" t="n"/>
      <c r="C776" s="826" t="n"/>
      <c r="D776" s="827" t="n"/>
      <c r="E776" s="828" t="n"/>
      <c r="F776" s="829" t="n"/>
      <c r="G776" s="829" t="n"/>
      <c r="H776" s="830" t="n"/>
      <c r="I776" s="37" t="n"/>
      <c r="J776" s="37" t="n"/>
      <c r="K776" s="35">
        <f>IFERROR(I776+J776,0)</f>
        <v/>
      </c>
      <c r="U776" s="59" t="n"/>
      <c r="V776" s="59" t="n"/>
      <c r="W776" s="59" t="n"/>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IF(C777="","",ROW()-2)</f>
        <v/>
      </c>
      <c r="B777" s="825" t="n"/>
      <c r="C777" s="826" t="n"/>
      <c r="D777" s="827" t="n"/>
      <c r="E777" s="828" t="n"/>
      <c r="F777" s="829" t="n"/>
      <c r="G777" s="829" t="n"/>
      <c r="H777" s="830" t="n"/>
      <c r="I777" s="37" t="n"/>
      <c r="J777" s="37" t="n"/>
      <c r="K777" s="35">
        <f>IFERROR(I777+J777,0)</f>
        <v/>
      </c>
      <c r="U777" s="59" t="n"/>
      <c r="V777" s="59" t="n"/>
      <c r="W777" s="59" t="n"/>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IF(C778="","",ROW()-2)</f>
        <v/>
      </c>
      <c r="B778" s="825" t="n"/>
      <c r="C778" s="826" t="n"/>
      <c r="D778" s="827" t="n"/>
      <c r="E778" s="828" t="n"/>
      <c r="F778" s="829" t="n"/>
      <c r="G778" s="829" t="n"/>
      <c r="H778" s="830" t="n"/>
      <c r="I778" s="37" t="n"/>
      <c r="J778" s="37" t="n"/>
      <c r="K778" s="35">
        <f>IFERROR(I778+J778,0)</f>
        <v/>
      </c>
      <c r="U778" s="59" t="n"/>
      <c r="V778" s="59" t="n"/>
      <c r="W778" s="59" t="n"/>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IF(C779="","",ROW()-2)</f>
        <v/>
      </c>
      <c r="B779" s="825" t="n"/>
      <c r="C779" s="826" t="n"/>
      <c r="D779" s="827" t="n"/>
      <c r="E779" s="828" t="n"/>
      <c r="F779" s="829" t="n"/>
      <c r="G779" s="829" t="n"/>
      <c r="H779" s="830" t="n"/>
      <c r="I779" s="37" t="n"/>
      <c r="J779" s="37" t="n"/>
      <c r="K779" s="35">
        <f>IFERROR(I779+J779,0)</f>
        <v/>
      </c>
      <c r="U779" s="59" t="n"/>
      <c r="V779" s="59" t="n"/>
      <c r="W779" s="59" t="n"/>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IF(C780="","",ROW()-2)</f>
        <v/>
      </c>
      <c r="B780" s="825" t="n"/>
      <c r="C780" s="826" t="n"/>
      <c r="D780" s="827" t="n"/>
      <c r="E780" s="828" t="n"/>
      <c r="F780" s="829" t="n"/>
      <c r="G780" s="829" t="n"/>
      <c r="H780" s="830" t="n"/>
      <c r="I780" s="37" t="n"/>
      <c r="J780" s="37" t="n"/>
      <c r="K780" s="35">
        <f>IFERROR(I780+J780,0)</f>
        <v/>
      </c>
      <c r="U780" s="59" t="n"/>
      <c r="V780" s="59" t="n"/>
      <c r="W780" s="59" t="n"/>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IF(C781="","",ROW()-2)</f>
        <v/>
      </c>
      <c r="B781" s="825" t="n"/>
      <c r="C781" s="826" t="n"/>
      <c r="D781" s="827" t="n"/>
      <c r="E781" s="828" t="n"/>
      <c r="F781" s="829" t="n"/>
      <c r="G781" s="829" t="n"/>
      <c r="H781" s="830" t="n"/>
      <c r="I781" s="37" t="n"/>
      <c r="J781" s="37" t="n"/>
      <c r="K781" s="35">
        <f>IFERROR(I781+J781,0)</f>
        <v/>
      </c>
      <c r="U781" s="59" t="n"/>
      <c r="V781" s="59" t="n"/>
      <c r="W781" s="59" t="n"/>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IF(C782="","",ROW()-2)</f>
        <v/>
      </c>
      <c r="B782" s="825" t="n"/>
      <c r="C782" s="826" t="n"/>
      <c r="D782" s="827" t="n"/>
      <c r="E782" s="828" t="n"/>
      <c r="F782" s="829" t="n"/>
      <c r="G782" s="829" t="n"/>
      <c r="H782" s="830" t="n"/>
      <c r="I782" s="37" t="n"/>
      <c r="J782" s="37" t="n"/>
      <c r="K782" s="35">
        <f>IFERROR(I782+J782,0)</f>
        <v/>
      </c>
      <c r="U782" s="59" t="n"/>
      <c r="V782" s="59" t="n"/>
      <c r="W782" s="59" t="n"/>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IF(C783="","",ROW()-2)</f>
        <v/>
      </c>
      <c r="B783" s="825" t="n"/>
      <c r="C783" s="826" t="n"/>
      <c r="D783" s="827" t="n"/>
      <c r="E783" s="828" t="n"/>
      <c r="F783" s="829" t="n"/>
      <c r="G783" s="829" t="n"/>
      <c r="H783" s="830" t="n"/>
      <c r="I783" s="37" t="n"/>
      <c r="J783" s="37" t="n"/>
      <c r="K783" s="35">
        <f>IFERROR(I783+J783,0)</f>
        <v/>
      </c>
      <c r="U783" s="59" t="n"/>
      <c r="V783" s="59" t="n"/>
      <c r="W783" s="59" t="n"/>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IF(C784="","",ROW()-2)</f>
        <v/>
      </c>
      <c r="B784" s="825" t="n"/>
      <c r="C784" s="826" t="n"/>
      <c r="D784" s="827" t="n"/>
      <c r="E784" s="828" t="n"/>
      <c r="F784" s="829" t="n"/>
      <c r="G784" s="829" t="n"/>
      <c r="H784" s="830" t="n"/>
      <c r="I784" s="37" t="n"/>
      <c r="J784" s="37" t="n"/>
      <c r="K784" s="35">
        <f>IFERROR(I784+J784,0)</f>
        <v/>
      </c>
      <c r="U784" s="59" t="n"/>
      <c r="V784" s="59" t="n"/>
      <c r="W784" s="59" t="n"/>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IF(C785="","",ROW()-2)</f>
        <v/>
      </c>
      <c r="B785" s="825" t="n"/>
      <c r="C785" s="826" t="n"/>
      <c r="D785" s="827" t="n"/>
      <c r="E785" s="828" t="n"/>
      <c r="F785" s="829" t="n"/>
      <c r="G785" s="829" t="n"/>
      <c r="H785" s="830" t="n"/>
      <c r="I785" s="37" t="n"/>
      <c r="J785" s="37" t="n"/>
      <c r="K785" s="35">
        <f>IFERROR(I785+J785,0)</f>
        <v/>
      </c>
      <c r="U785" s="59" t="n"/>
      <c r="V785" s="59" t="n"/>
      <c r="W785" s="59" t="n"/>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IF(C786="","",ROW()-2)</f>
        <v/>
      </c>
      <c r="B786" s="825" t="n"/>
      <c r="C786" s="826" t="n"/>
      <c r="D786" s="827" t="n"/>
      <c r="E786" s="828" t="n"/>
      <c r="F786" s="829" t="n"/>
      <c r="G786" s="829" t="n"/>
      <c r="H786" s="830" t="n"/>
      <c r="I786" s="37" t="n"/>
      <c r="J786" s="37" t="n"/>
      <c r="K786" s="35">
        <f>IFERROR(I786+J786,0)</f>
        <v/>
      </c>
      <c r="U786" s="59" t="n"/>
      <c r="V786" s="59" t="n"/>
      <c r="W786" s="59" t="n"/>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IF(C787="","",ROW()-2)</f>
        <v/>
      </c>
      <c r="B787" s="825" t="n"/>
      <c r="C787" s="826" t="n"/>
      <c r="D787" s="827" t="n"/>
      <c r="E787" s="828" t="n"/>
      <c r="F787" s="829" t="n"/>
      <c r="G787" s="829" t="n"/>
      <c r="H787" s="830" t="n"/>
      <c r="I787" s="37" t="n"/>
      <c r="J787" s="37" t="n"/>
      <c r="K787" s="35">
        <f>IFERROR(I787+J787,0)</f>
        <v/>
      </c>
      <c r="U787" s="59" t="n"/>
      <c r="V787" s="59" t="n"/>
      <c r="W787" s="59" t="n"/>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IF(C788="","",ROW()-2)</f>
        <v/>
      </c>
      <c r="B788" s="825" t="n"/>
      <c r="C788" s="826" t="n"/>
      <c r="D788" s="827" t="n"/>
      <c r="E788" s="828" t="n"/>
      <c r="F788" s="829" t="n"/>
      <c r="G788" s="829" t="n"/>
      <c r="H788" s="830" t="n"/>
      <c r="I788" s="37" t="n"/>
      <c r="J788" s="37" t="n"/>
      <c r="K788" s="35">
        <f>IFERROR(I788+J788,0)</f>
        <v/>
      </c>
      <c r="U788" s="59" t="n"/>
      <c r="V788" s="59" t="n"/>
      <c r="W788" s="59" t="n"/>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IF(C789="","",ROW()-2)</f>
        <v/>
      </c>
      <c r="B789" s="825" t="n"/>
      <c r="C789" s="826" t="n"/>
      <c r="D789" s="827" t="n"/>
      <c r="E789" s="828" t="n"/>
      <c r="F789" s="829" t="n"/>
      <c r="G789" s="829" t="n"/>
      <c r="H789" s="830" t="n"/>
      <c r="I789" s="37" t="n"/>
      <c r="J789" s="37" t="n"/>
      <c r="K789" s="35">
        <f>IFERROR(I789+J789,0)</f>
        <v/>
      </c>
      <c r="U789" s="59" t="n"/>
      <c r="V789" s="59" t="n"/>
      <c r="W789" s="59" t="n"/>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IF(C790="","",ROW()-2)</f>
        <v/>
      </c>
      <c r="B790" s="825" t="n"/>
      <c r="C790" s="826" t="n"/>
      <c r="D790" s="827" t="n"/>
      <c r="E790" s="828" t="n"/>
      <c r="F790" s="829" t="n"/>
      <c r="G790" s="829" t="n"/>
      <c r="H790" s="830" t="n"/>
      <c r="I790" s="37" t="n"/>
      <c r="J790" s="37" t="n"/>
      <c r="K790" s="35">
        <f>IFERROR(I790+J790,0)</f>
        <v/>
      </c>
      <c r="U790" s="59" t="n"/>
      <c r="V790" s="59" t="n"/>
      <c r="W790" s="59" t="n"/>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IF(C791="","",ROW()-2)</f>
        <v/>
      </c>
      <c r="B791" s="825" t="n"/>
      <c r="C791" s="826" t="n"/>
      <c r="D791" s="827" t="n"/>
      <c r="E791" s="828" t="n"/>
      <c r="F791" s="829" t="n"/>
      <c r="G791" s="829" t="n"/>
      <c r="H791" s="830" t="n"/>
      <c r="I791" s="37" t="n"/>
      <c r="J791" s="37" t="n"/>
      <c r="K791" s="35">
        <f>IFERROR(I791+J791,0)</f>
        <v/>
      </c>
      <c r="U791" s="59" t="n"/>
      <c r="V791" s="59" t="n"/>
      <c r="W791" s="59" t="n"/>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IF(C792="","",ROW()-2)</f>
        <v/>
      </c>
      <c r="B792" s="825" t="n"/>
      <c r="C792" s="826" t="n"/>
      <c r="D792" s="827" t="n"/>
      <c r="E792" s="828" t="n"/>
      <c r="F792" s="829" t="n"/>
      <c r="G792" s="829" t="n"/>
      <c r="H792" s="830" t="n"/>
      <c r="I792" s="37" t="n"/>
      <c r="J792" s="37" t="n"/>
      <c r="K792" s="35">
        <f>IFERROR(I792+J792,0)</f>
        <v/>
      </c>
      <c r="U792" s="59" t="n"/>
      <c r="V792" s="59" t="n"/>
      <c r="W792" s="59" t="n"/>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IF(C793="","",ROW()-2)</f>
        <v/>
      </c>
      <c r="B793" s="825" t="n"/>
      <c r="C793" s="826" t="n"/>
      <c r="D793" s="827" t="n"/>
      <c r="E793" s="828" t="n"/>
      <c r="F793" s="829" t="n"/>
      <c r="G793" s="829" t="n"/>
      <c r="H793" s="830" t="n"/>
      <c r="I793" s="37" t="n"/>
      <c r="J793" s="37" t="n"/>
      <c r="K793" s="35">
        <f>IFERROR(I793+J793,0)</f>
        <v/>
      </c>
      <c r="U793" s="59" t="n"/>
      <c r="V793" s="59" t="n"/>
      <c r="W793" s="59" t="n"/>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IF(C794="","",ROW()-2)</f>
        <v/>
      </c>
      <c r="B794" s="825" t="n"/>
      <c r="C794" s="826" t="n"/>
      <c r="D794" s="827" t="n"/>
      <c r="E794" s="828" t="n"/>
      <c r="F794" s="829" t="n"/>
      <c r="G794" s="829" t="n"/>
      <c r="H794" s="830" t="n"/>
      <c r="I794" s="37" t="n"/>
      <c r="J794" s="37" t="n"/>
      <c r="K794" s="35">
        <f>IFERROR(I794+J794,0)</f>
        <v/>
      </c>
      <c r="U794" s="59" t="n"/>
      <c r="V794" s="59" t="n"/>
      <c r="W794" s="59" t="n"/>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IF(C795="","",ROW()-2)</f>
        <v/>
      </c>
      <c r="B795" s="825" t="n"/>
      <c r="C795" s="826" t="n"/>
      <c r="D795" s="827" t="n"/>
      <c r="E795" s="828" t="n"/>
      <c r="F795" s="829" t="n"/>
      <c r="G795" s="829" t="n"/>
      <c r="H795" s="830" t="n"/>
      <c r="I795" s="37" t="n"/>
      <c r="J795" s="37" t="n"/>
      <c r="K795" s="35">
        <f>IFERROR(I795+J795,0)</f>
        <v/>
      </c>
      <c r="U795" s="59" t="n"/>
      <c r="V795" s="59" t="n"/>
      <c r="W795" s="59" t="n"/>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IF(C796="","",ROW()-2)</f>
        <v/>
      </c>
      <c r="B796" s="825" t="n"/>
      <c r="C796" s="826" t="n"/>
      <c r="D796" s="827" t="n"/>
      <c r="E796" s="828" t="n"/>
      <c r="F796" s="829" t="n"/>
      <c r="G796" s="829" t="n"/>
      <c r="H796" s="830" t="n"/>
      <c r="I796" s="37" t="n"/>
      <c r="J796" s="37" t="n"/>
      <c r="K796" s="35">
        <f>IFERROR(I796+J796,0)</f>
        <v/>
      </c>
      <c r="U796" s="59" t="n"/>
      <c r="V796" s="59" t="n"/>
      <c r="W796" s="59" t="n"/>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IF(C797="","",ROW()-2)</f>
        <v/>
      </c>
      <c r="B797" s="825" t="n"/>
      <c r="C797" s="826" t="n"/>
      <c r="D797" s="827" t="n"/>
      <c r="E797" s="828" t="n"/>
      <c r="F797" s="829" t="n"/>
      <c r="G797" s="829" t="n"/>
      <c r="H797" s="830" t="n"/>
      <c r="I797" s="37" t="n"/>
      <c r="J797" s="37" t="n"/>
      <c r="K797" s="35">
        <f>IFERROR(I797+J797,0)</f>
        <v/>
      </c>
      <c r="U797" s="59" t="n"/>
      <c r="V797" s="59" t="n"/>
      <c r="W797" s="59" t="n"/>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IF(C798="","",ROW()-2)</f>
        <v/>
      </c>
      <c r="B798" s="825" t="n"/>
      <c r="C798" s="826" t="n"/>
      <c r="D798" s="827" t="n"/>
      <c r="E798" s="828" t="n"/>
      <c r="F798" s="829" t="n"/>
      <c r="G798" s="829" t="n"/>
      <c r="H798" s="830" t="n"/>
      <c r="I798" s="37" t="n"/>
      <c r="J798" s="37" t="n"/>
      <c r="K798" s="35">
        <f>IFERROR(I798+J798,0)</f>
        <v/>
      </c>
      <c r="U798" s="59" t="n"/>
      <c r="V798" s="59" t="n"/>
      <c r="W798" s="59" t="n"/>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IF(C799="","",ROW()-2)</f>
        <v/>
      </c>
      <c r="B799" s="825" t="n"/>
      <c r="C799" s="826" t="n"/>
      <c r="D799" s="827" t="n"/>
      <c r="E799" s="828" t="n"/>
      <c r="F799" s="829" t="n"/>
      <c r="G799" s="829" t="n"/>
      <c r="H799" s="830" t="n"/>
      <c r="I799" s="37" t="n"/>
      <c r="J799" s="37" t="n"/>
      <c r="K799" s="35">
        <f>IFERROR(I799+J799,0)</f>
        <v/>
      </c>
      <c r="U799" s="59" t="n"/>
      <c r="V799" s="59" t="n"/>
      <c r="W799" s="59" t="n"/>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IF(C800="","",ROW()-2)</f>
        <v/>
      </c>
      <c r="B800" s="825" t="n"/>
      <c r="C800" s="826" t="n"/>
      <c r="D800" s="827" t="n"/>
      <c r="E800" s="828" t="n"/>
      <c r="F800" s="829" t="n"/>
      <c r="G800" s="829" t="n"/>
      <c r="H800" s="830" t="n"/>
      <c r="I800" s="37" t="n"/>
      <c r="J800" s="37" t="n"/>
      <c r="K800" s="35">
        <f>IFERROR(I800+J800,0)</f>
        <v/>
      </c>
      <c r="U800" s="59" t="n"/>
      <c r="V800" s="59" t="n"/>
      <c r="W800" s="59" t="n"/>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IF(C801="","",ROW()-2)</f>
        <v/>
      </c>
      <c r="B801" s="825" t="n"/>
      <c r="C801" s="826" t="n"/>
      <c r="D801" s="827" t="n"/>
      <c r="E801" s="828" t="n"/>
      <c r="F801" s="829" t="n"/>
      <c r="G801" s="829" t="n"/>
      <c r="H801" s="830" t="n"/>
      <c r="I801" s="37" t="n"/>
      <c r="J801" s="37" t="n"/>
      <c r="K801" s="35">
        <f>IFERROR(I801+J801,0)</f>
        <v/>
      </c>
      <c r="U801" s="59" t="n"/>
      <c r="V801" s="59" t="n"/>
      <c r="W801" s="59" t="n"/>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IF(C802="","",ROW()-2)</f>
        <v/>
      </c>
      <c r="B802" s="825" t="n"/>
      <c r="C802" s="826" t="n"/>
      <c r="D802" s="827" t="n"/>
      <c r="E802" s="828" t="n"/>
      <c r="F802" s="829" t="n"/>
      <c r="G802" s="829" t="n"/>
      <c r="H802" s="830" t="n"/>
      <c r="I802" s="37" t="n"/>
      <c r="J802" s="37" t="n"/>
      <c r="K802" s="35">
        <f>IFERROR(I802+J802,0)</f>
        <v/>
      </c>
      <c r="U802" s="59" t="n"/>
      <c r="V802" s="59" t="n"/>
      <c r="W802" s="59" t="n"/>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IF(C803="","",ROW()-2)</f>
        <v/>
      </c>
      <c r="B803" s="825" t="n"/>
      <c r="C803" s="826" t="n"/>
      <c r="D803" s="827" t="n"/>
      <c r="E803" s="828" t="n"/>
      <c r="F803" s="829" t="n"/>
      <c r="G803" s="829" t="n"/>
      <c r="H803" s="830" t="n"/>
      <c r="I803" s="37" t="n"/>
      <c r="J803" s="37" t="n"/>
      <c r="K803" s="35">
        <f>IFERROR(I803+J803,0)</f>
        <v/>
      </c>
      <c r="U803" s="59" t="n"/>
      <c r="V803" s="59" t="n"/>
      <c r="W803" s="59" t="n"/>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IF(C804="","",ROW()-2)</f>
        <v/>
      </c>
      <c r="B804" s="825" t="n"/>
      <c r="C804" s="826" t="n"/>
      <c r="D804" s="827" t="n"/>
      <c r="E804" s="828" t="n"/>
      <c r="F804" s="829" t="n"/>
      <c r="G804" s="829" t="n"/>
      <c r="H804" s="830" t="n"/>
      <c r="I804" s="37" t="n"/>
      <c r="J804" s="37" t="n"/>
      <c r="K804" s="35">
        <f>IFERROR(I804+J804,0)</f>
        <v/>
      </c>
      <c r="U804" s="59" t="n"/>
      <c r="V804" s="59" t="n"/>
      <c r="W804" s="59" t="n"/>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IF(C805="","",ROW()-2)</f>
        <v/>
      </c>
      <c r="B805" s="825" t="n"/>
      <c r="C805" s="826" t="n"/>
      <c r="D805" s="827" t="n"/>
      <c r="E805" s="828" t="n"/>
      <c r="F805" s="829" t="n"/>
      <c r="G805" s="829" t="n"/>
      <c r="H805" s="830" t="n"/>
      <c r="I805" s="37" t="n"/>
      <c r="J805" s="37" t="n"/>
      <c r="K805" s="35">
        <f>IFERROR(I805+J805,0)</f>
        <v/>
      </c>
      <c r="U805" s="59" t="n"/>
      <c r="V805" s="59" t="n"/>
      <c r="W805" s="59" t="n"/>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IF(C806="","",ROW()-2)</f>
        <v/>
      </c>
      <c r="B806" s="825" t="n"/>
      <c r="C806" s="826" t="n"/>
      <c r="D806" s="827" t="n"/>
      <c r="E806" s="828" t="n"/>
      <c r="F806" s="829" t="n"/>
      <c r="G806" s="829" t="n"/>
      <c r="H806" s="830" t="n"/>
      <c r="I806" s="37" t="n"/>
      <c r="J806" s="37" t="n"/>
      <c r="K806" s="35">
        <f>IFERROR(I806+J806,0)</f>
        <v/>
      </c>
      <c r="U806" s="59" t="n"/>
      <c r="V806" s="59" t="n"/>
      <c r="W806" s="59" t="n"/>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IF(C807="","",ROW()-2)</f>
        <v/>
      </c>
      <c r="B807" s="825" t="n"/>
      <c r="C807" s="826" t="n"/>
      <c r="D807" s="827" t="n"/>
      <c r="E807" s="828" t="n"/>
      <c r="F807" s="829" t="n"/>
      <c r="G807" s="829" t="n"/>
      <c r="H807" s="830" t="n"/>
      <c r="I807" s="37" t="n"/>
      <c r="J807" s="37" t="n"/>
      <c r="K807" s="35">
        <f>IFERROR(I807+J807,0)</f>
        <v/>
      </c>
      <c r="U807" s="59" t="n"/>
      <c r="V807" s="59" t="n"/>
      <c r="W807" s="59" t="n"/>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IF(C808="","",ROW()-2)</f>
        <v/>
      </c>
      <c r="B808" s="825" t="n"/>
      <c r="C808" s="826" t="n"/>
      <c r="D808" s="827" t="n"/>
      <c r="E808" s="828" t="n"/>
      <c r="F808" s="829" t="n"/>
      <c r="G808" s="829" t="n"/>
      <c r="H808" s="830" t="n"/>
      <c r="I808" s="37" t="n"/>
      <c r="J808" s="37" t="n"/>
      <c r="K808" s="35">
        <f>IFERROR(I808+J808,0)</f>
        <v/>
      </c>
      <c r="U808" s="59" t="n"/>
      <c r="V808" s="59" t="n"/>
      <c r="W808" s="59" t="n"/>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IF(C809="","",ROW()-2)</f>
        <v/>
      </c>
      <c r="B809" s="825" t="n"/>
      <c r="C809" s="826" t="n"/>
      <c r="D809" s="827" t="n"/>
      <c r="E809" s="828" t="n"/>
      <c r="F809" s="829" t="n"/>
      <c r="G809" s="829" t="n"/>
      <c r="H809" s="830" t="n"/>
      <c r="I809" s="37" t="n"/>
      <c r="J809" s="37" t="n"/>
      <c r="K809" s="35">
        <f>IFERROR(I809+J809,0)</f>
        <v/>
      </c>
      <c r="U809" s="59" t="n"/>
      <c r="V809" s="59" t="n"/>
      <c r="W809" s="59" t="n"/>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IF(C810="","",ROW()-2)</f>
        <v/>
      </c>
      <c r="B810" s="825" t="n"/>
      <c r="C810" s="826" t="n"/>
      <c r="D810" s="827" t="n"/>
      <c r="E810" s="828" t="n"/>
      <c r="F810" s="829" t="n"/>
      <c r="G810" s="829" t="n"/>
      <c r="H810" s="830" t="n"/>
      <c r="I810" s="37" t="n"/>
      <c r="J810" s="37" t="n"/>
      <c r="K810" s="35">
        <f>IFERROR(I810+J810,0)</f>
        <v/>
      </c>
      <c r="U810" s="59" t="n"/>
      <c r="V810" s="59" t="n"/>
      <c r="W810" s="59" t="n"/>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IF(C811="","",ROW()-2)</f>
        <v/>
      </c>
      <c r="B811" s="825" t="n"/>
      <c r="C811" s="826" t="n"/>
      <c r="D811" s="827" t="n"/>
      <c r="E811" s="828" t="n"/>
      <c r="F811" s="829" t="n"/>
      <c r="G811" s="829" t="n"/>
      <c r="H811" s="830" t="n"/>
      <c r="I811" s="37" t="n"/>
      <c r="J811" s="37" t="n"/>
      <c r="K811" s="35">
        <f>IFERROR(I811+J811,0)</f>
        <v/>
      </c>
      <c r="U811" s="59" t="n"/>
      <c r="V811" s="59" t="n"/>
      <c r="W811" s="59" t="n"/>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IF(C812="","",ROW()-2)</f>
        <v/>
      </c>
      <c r="B812" s="825" t="n"/>
      <c r="C812" s="826" t="n"/>
      <c r="D812" s="827" t="n"/>
      <c r="E812" s="828" t="n"/>
      <c r="F812" s="829" t="n"/>
      <c r="G812" s="829" t="n"/>
      <c r="H812" s="830" t="n"/>
      <c r="I812" s="37" t="n"/>
      <c r="J812" s="37" t="n"/>
      <c r="K812" s="35">
        <f>IFERROR(I812+J812,0)</f>
        <v/>
      </c>
      <c r="U812" s="59" t="n"/>
      <c r="V812" s="59" t="n"/>
      <c r="W812" s="59" t="n"/>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IF(C813="","",ROW()-2)</f>
        <v/>
      </c>
      <c r="B813" s="825" t="n"/>
      <c r="C813" s="826" t="n"/>
      <c r="D813" s="827" t="n"/>
      <c r="E813" s="828" t="n"/>
      <c r="F813" s="829" t="n"/>
      <c r="G813" s="829" t="n"/>
      <c r="H813" s="830" t="n"/>
      <c r="I813" s="37" t="n"/>
      <c r="J813" s="37" t="n"/>
      <c r="K813" s="35">
        <f>IFERROR(I813+J813,0)</f>
        <v/>
      </c>
      <c r="U813" s="59" t="n"/>
      <c r="V813" s="59" t="n"/>
      <c r="W813" s="59" t="n"/>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IF(C814="","",ROW()-2)</f>
        <v/>
      </c>
      <c r="B814" s="825" t="n"/>
      <c r="C814" s="826" t="n"/>
      <c r="D814" s="827" t="n"/>
      <c r="E814" s="828" t="n"/>
      <c r="F814" s="829" t="n"/>
      <c r="G814" s="829" t="n"/>
      <c r="H814" s="830" t="n"/>
      <c r="I814" s="37" t="n"/>
      <c r="J814" s="37" t="n"/>
      <c r="K814" s="35">
        <f>IFERROR(I814+J814,0)</f>
        <v/>
      </c>
      <c r="U814" s="59" t="n"/>
      <c r="V814" s="59" t="n"/>
      <c r="W814" s="59" t="n"/>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IF(C815="","",ROW()-2)</f>
        <v/>
      </c>
      <c r="B815" s="825" t="n"/>
      <c r="C815" s="826" t="n"/>
      <c r="D815" s="827" t="n"/>
      <c r="E815" s="828" t="n"/>
      <c r="F815" s="829" t="n"/>
      <c r="G815" s="829" t="n"/>
      <c r="H815" s="830" t="n"/>
      <c r="I815" s="37" t="n"/>
      <c r="J815" s="37" t="n"/>
      <c r="K815" s="35">
        <f>IFERROR(I815+J815,0)</f>
        <v/>
      </c>
      <c r="U815" s="59" t="n"/>
      <c r="V815" s="59" t="n"/>
      <c r="W815" s="59" t="n"/>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IF(C816="","",ROW()-2)</f>
        <v/>
      </c>
      <c r="B816" s="825" t="n"/>
      <c r="C816" s="826" t="n"/>
      <c r="D816" s="827" t="n"/>
      <c r="E816" s="828" t="n"/>
      <c r="F816" s="829" t="n"/>
      <c r="G816" s="829" t="n"/>
      <c r="H816" s="830" t="n"/>
      <c r="I816" s="37" t="n"/>
      <c r="J816" s="37" t="n"/>
      <c r="K816" s="35">
        <f>IFERROR(I816+J816,0)</f>
        <v/>
      </c>
      <c r="U816" s="59" t="n"/>
      <c r="V816" s="59" t="n"/>
      <c r="W816" s="59" t="n"/>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IF(C817="","",ROW()-2)</f>
        <v/>
      </c>
      <c r="B817" s="825" t="n"/>
      <c r="C817" s="826" t="n"/>
      <c r="D817" s="827" t="n"/>
      <c r="E817" s="828" t="n"/>
      <c r="F817" s="829" t="n"/>
      <c r="G817" s="829" t="n"/>
      <c r="H817" s="830" t="n"/>
      <c r="I817" s="37" t="n"/>
      <c r="J817" s="37" t="n"/>
      <c r="K817" s="35">
        <f>IFERROR(I817+J817,0)</f>
        <v/>
      </c>
      <c r="U817" s="59" t="n"/>
      <c r="V817" s="59" t="n"/>
      <c r="W817" s="59" t="n"/>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IF(C818="","",ROW()-2)</f>
        <v/>
      </c>
      <c r="B818" s="825" t="n"/>
      <c r="C818" s="826" t="n"/>
      <c r="D818" s="827" t="n"/>
      <c r="E818" s="828" t="n"/>
      <c r="F818" s="829" t="n"/>
      <c r="G818" s="829" t="n"/>
      <c r="H818" s="830" t="n"/>
      <c r="I818" s="37" t="n"/>
      <c r="J818" s="37" t="n"/>
      <c r="K818" s="35">
        <f>IFERROR(I818+J818,0)</f>
        <v/>
      </c>
      <c r="U818" s="59" t="n"/>
      <c r="V818" s="59" t="n"/>
      <c r="W818" s="59" t="n"/>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IF(C819="","",ROW()-2)</f>
        <v/>
      </c>
      <c r="B819" s="825" t="n"/>
      <c r="C819" s="826" t="n"/>
      <c r="D819" s="827" t="n"/>
      <c r="E819" s="828" t="n"/>
      <c r="F819" s="829" t="n"/>
      <c r="G819" s="829" t="n"/>
      <c r="H819" s="830" t="n"/>
      <c r="I819" s="37" t="n"/>
      <c r="J819" s="37" t="n"/>
      <c r="K819" s="35">
        <f>IFERROR(I819+J819,0)</f>
        <v/>
      </c>
      <c r="U819" s="59" t="n"/>
      <c r="V819" s="59" t="n"/>
      <c r="W819" s="59" t="n"/>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IF(C820="","",ROW()-2)</f>
        <v/>
      </c>
      <c r="B820" s="825" t="n"/>
      <c r="C820" s="826" t="n"/>
      <c r="D820" s="827" t="n"/>
      <c r="E820" s="828" t="n"/>
      <c r="F820" s="829" t="n"/>
      <c r="G820" s="829" t="n"/>
      <c r="H820" s="830" t="n"/>
      <c r="I820" s="37" t="n"/>
      <c r="J820" s="37" t="n"/>
      <c r="K820" s="35">
        <f>IFERROR(I820+J820,0)</f>
        <v/>
      </c>
      <c r="U820" s="59" t="n"/>
      <c r="V820" s="59" t="n"/>
      <c r="W820" s="59" t="n"/>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IF(C821="","",ROW()-2)</f>
        <v/>
      </c>
      <c r="B821" s="825" t="n"/>
      <c r="C821" s="826" t="n"/>
      <c r="D821" s="827" t="n"/>
      <c r="E821" s="828" t="n"/>
      <c r="F821" s="829" t="n"/>
      <c r="G821" s="829" t="n"/>
      <c r="H821" s="830" t="n"/>
      <c r="I821" s="37" t="n"/>
      <c r="J821" s="37" t="n"/>
      <c r="K821" s="35">
        <f>IFERROR(I821+J821,0)</f>
        <v/>
      </c>
      <c r="U821" s="59" t="n"/>
      <c r="V821" s="59" t="n"/>
      <c r="W821" s="59" t="n"/>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IF(C822="","",ROW()-2)</f>
        <v/>
      </c>
      <c r="B822" s="825" t="n"/>
      <c r="C822" s="826" t="n"/>
      <c r="D822" s="827" t="n"/>
      <c r="E822" s="828" t="n"/>
      <c r="F822" s="829" t="n"/>
      <c r="G822" s="829" t="n"/>
      <c r="H822" s="830" t="n"/>
      <c r="I822" s="37" t="n"/>
      <c r="J822" s="37" t="n"/>
      <c r="K822" s="35">
        <f>IFERROR(I822+J822,0)</f>
        <v/>
      </c>
      <c r="U822" s="59" t="n"/>
      <c r="V822" s="59" t="n"/>
      <c r="W822" s="59" t="n"/>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IF(C823="","",ROW()-2)</f>
        <v/>
      </c>
      <c r="B823" s="825" t="n"/>
      <c r="C823" s="826" t="n"/>
      <c r="D823" s="827" t="n"/>
      <c r="E823" s="828" t="n"/>
      <c r="F823" s="829" t="n"/>
      <c r="G823" s="829" t="n"/>
      <c r="H823" s="830" t="n"/>
      <c r="I823" s="37" t="n"/>
      <c r="J823" s="37" t="n"/>
      <c r="K823" s="35">
        <f>IFERROR(I823+J823,0)</f>
        <v/>
      </c>
      <c r="U823" s="59" t="n"/>
      <c r="V823" s="59" t="n"/>
      <c r="W823" s="59" t="n"/>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IF(C824="","",ROW()-2)</f>
        <v/>
      </c>
      <c r="B824" s="825" t="n"/>
      <c r="C824" s="826" t="n"/>
      <c r="D824" s="827" t="n"/>
      <c r="E824" s="828" t="n"/>
      <c r="F824" s="829" t="n"/>
      <c r="G824" s="829" t="n"/>
      <c r="H824" s="830" t="n"/>
      <c r="I824" s="37" t="n"/>
      <c r="J824" s="37" t="n"/>
      <c r="K824" s="35">
        <f>IFERROR(I824+J824,0)</f>
        <v/>
      </c>
      <c r="U824" s="59" t="n"/>
      <c r="V824" s="59" t="n"/>
      <c r="W824" s="59" t="n"/>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IF(C825="","",ROW()-2)</f>
        <v/>
      </c>
      <c r="B825" s="825" t="n"/>
      <c r="C825" s="826" t="n"/>
      <c r="D825" s="827" t="n"/>
      <c r="E825" s="828" t="n"/>
      <c r="F825" s="829" t="n"/>
      <c r="G825" s="829" t="n"/>
      <c r="H825" s="830" t="n"/>
      <c r="I825" s="37" t="n"/>
      <c r="J825" s="37" t="n"/>
      <c r="K825" s="35">
        <f>IFERROR(I825+J825,0)</f>
        <v/>
      </c>
      <c r="U825" s="59" t="n"/>
      <c r="V825" s="59" t="n"/>
      <c r="W825" s="59" t="n"/>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IF(C826="","",ROW()-2)</f>
        <v/>
      </c>
      <c r="B826" s="825" t="n"/>
      <c r="C826" s="826" t="n"/>
      <c r="D826" s="827" t="n"/>
      <c r="E826" s="828" t="n"/>
      <c r="F826" s="829" t="n"/>
      <c r="G826" s="829" t="n"/>
      <c r="H826" s="830" t="n"/>
      <c r="I826" s="37" t="n"/>
      <c r="J826" s="37" t="n"/>
      <c r="K826" s="35">
        <f>IFERROR(I826+J826,0)</f>
        <v/>
      </c>
      <c r="U826" s="59" t="n"/>
      <c r="V826" s="59" t="n"/>
      <c r="W826" s="59" t="n"/>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IF(C827="","",ROW()-2)</f>
        <v/>
      </c>
      <c r="B827" s="825" t="n"/>
      <c r="C827" s="826" t="n"/>
      <c r="D827" s="827" t="n"/>
      <c r="E827" s="828" t="n"/>
      <c r="F827" s="829" t="n"/>
      <c r="G827" s="829" t="n"/>
      <c r="H827" s="830" t="n"/>
      <c r="I827" s="37" t="n"/>
      <c r="J827" s="37" t="n"/>
      <c r="K827" s="35">
        <f>IFERROR(I827+J827,0)</f>
        <v/>
      </c>
      <c r="U827" s="59" t="n"/>
      <c r="V827" s="59" t="n"/>
      <c r="W827" s="59" t="n"/>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IF(C828="","",ROW()-2)</f>
        <v/>
      </c>
      <c r="B828" s="825" t="n"/>
      <c r="C828" s="826" t="n"/>
      <c r="D828" s="827" t="n"/>
      <c r="E828" s="828" t="n"/>
      <c r="F828" s="829" t="n"/>
      <c r="G828" s="829" t="n"/>
      <c r="H828" s="830" t="n"/>
      <c r="I828" s="37" t="n"/>
      <c r="J828" s="37" t="n"/>
      <c r="K828" s="35">
        <f>IFERROR(I828+J828,0)</f>
        <v/>
      </c>
      <c r="U828" s="59" t="n"/>
      <c r="V828" s="59" t="n"/>
      <c r="W828" s="59" t="n"/>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IF(C829="","",ROW()-2)</f>
        <v/>
      </c>
      <c r="B829" s="825" t="n"/>
      <c r="C829" s="826" t="n"/>
      <c r="D829" s="827" t="n"/>
      <c r="E829" s="828" t="n"/>
      <c r="F829" s="829" t="n"/>
      <c r="G829" s="829" t="n"/>
      <c r="H829" s="830" t="n"/>
      <c r="I829" s="37" t="n"/>
      <c r="J829" s="37" t="n"/>
      <c r="K829" s="35">
        <f>IFERROR(I829+J829,0)</f>
        <v/>
      </c>
      <c r="U829" s="59" t="n"/>
      <c r="V829" s="59" t="n"/>
      <c r="W829" s="59" t="n"/>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IF(C830="","",ROW()-2)</f>
        <v/>
      </c>
      <c r="B830" s="825" t="n"/>
      <c r="C830" s="826" t="n"/>
      <c r="D830" s="827" t="n"/>
      <c r="E830" s="828" t="n"/>
      <c r="F830" s="829" t="n"/>
      <c r="G830" s="829" t="n"/>
      <c r="H830" s="830" t="n"/>
      <c r="I830" s="37" t="n"/>
      <c r="J830" s="37" t="n"/>
      <c r="K830" s="35">
        <f>IFERROR(I830+J830,0)</f>
        <v/>
      </c>
      <c r="U830" s="59" t="n"/>
      <c r="V830" s="59" t="n"/>
      <c r="W830" s="59" t="n"/>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IF(C831="","",ROW()-2)</f>
        <v/>
      </c>
      <c r="B831" s="825" t="n"/>
      <c r="C831" s="826" t="n"/>
      <c r="D831" s="827" t="n"/>
      <c r="E831" s="828" t="n"/>
      <c r="F831" s="829" t="n"/>
      <c r="G831" s="829" t="n"/>
      <c r="H831" s="830" t="n"/>
      <c r="I831" s="37" t="n"/>
      <c r="J831" s="37" t="n"/>
      <c r="K831" s="35">
        <f>IFERROR(I831+J831,0)</f>
        <v/>
      </c>
      <c r="U831" s="59" t="n"/>
      <c r="V831" s="59" t="n"/>
      <c r="W831" s="59" t="n"/>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IF(C832="","",ROW()-2)</f>
        <v/>
      </c>
      <c r="B832" s="825" t="n"/>
      <c r="C832" s="826" t="n"/>
      <c r="D832" s="827" t="n"/>
      <c r="E832" s="828" t="n"/>
      <c r="F832" s="829" t="n"/>
      <c r="G832" s="829" t="n"/>
      <c r="H832" s="830" t="n"/>
      <c r="I832" s="37" t="n"/>
      <c r="J832" s="37" t="n"/>
      <c r="K832" s="35">
        <f>IFERROR(I832+J832,0)</f>
        <v/>
      </c>
      <c r="U832" s="59" t="n"/>
      <c r="V832" s="59" t="n"/>
      <c r="W832" s="59" t="n"/>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IF(C833="","",ROW()-2)</f>
        <v/>
      </c>
      <c r="B833" s="825" t="n"/>
      <c r="C833" s="826" t="n"/>
      <c r="D833" s="827" t="n"/>
      <c r="E833" s="828" t="n"/>
      <c r="F833" s="829" t="n"/>
      <c r="G833" s="829" t="n"/>
      <c r="H833" s="830" t="n"/>
      <c r="I833" s="37" t="n"/>
      <c r="J833" s="37" t="n"/>
      <c r="K833" s="35">
        <f>IFERROR(I833+J833,0)</f>
        <v/>
      </c>
      <c r="U833" s="59" t="n"/>
      <c r="V833" s="59" t="n"/>
      <c r="W833" s="59" t="n"/>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IF(C834="","",ROW()-2)</f>
        <v/>
      </c>
      <c r="B834" s="825" t="n"/>
      <c r="C834" s="826" t="n"/>
      <c r="D834" s="827" t="n"/>
      <c r="E834" s="828" t="n"/>
      <c r="F834" s="829" t="n"/>
      <c r="G834" s="829" t="n"/>
      <c r="H834" s="830" t="n"/>
      <c r="I834" s="37" t="n"/>
      <c r="J834" s="37" t="n"/>
      <c r="K834" s="35">
        <f>IFERROR(I834+J834,0)</f>
        <v/>
      </c>
      <c r="U834" s="59" t="n"/>
      <c r="V834" s="59" t="n"/>
      <c r="W834" s="59" t="n"/>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IF(C835="","",ROW()-2)</f>
        <v/>
      </c>
      <c r="B835" s="825" t="n"/>
      <c r="C835" s="826" t="n"/>
      <c r="D835" s="827" t="n"/>
      <c r="E835" s="828" t="n"/>
      <c r="F835" s="829" t="n"/>
      <c r="G835" s="829" t="n"/>
      <c r="H835" s="830" t="n"/>
      <c r="I835" s="37" t="n"/>
      <c r="J835" s="37" t="n"/>
      <c r="K835" s="35">
        <f>IFERROR(I835+J835,0)</f>
        <v/>
      </c>
      <c r="U835" s="59" t="n"/>
      <c r="V835" s="59" t="n"/>
      <c r="W835" s="59" t="n"/>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IF(C836="","",ROW()-2)</f>
        <v/>
      </c>
      <c r="B836" s="825" t="n"/>
      <c r="C836" s="826" t="n"/>
      <c r="D836" s="827" t="n"/>
      <c r="E836" s="828" t="n"/>
      <c r="F836" s="829" t="n"/>
      <c r="G836" s="829" t="n"/>
      <c r="H836" s="830" t="n"/>
      <c r="I836" s="37" t="n"/>
      <c r="J836" s="37" t="n"/>
      <c r="K836" s="35">
        <f>IFERROR(I836+J836,0)</f>
        <v/>
      </c>
      <c r="U836" s="59" t="n"/>
      <c r="V836" s="59" t="n"/>
      <c r="W836" s="59" t="n"/>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IF(C837="","",ROW()-2)</f>
        <v/>
      </c>
      <c r="B837" s="825" t="n"/>
      <c r="C837" s="826" t="n"/>
      <c r="D837" s="827" t="n"/>
      <c r="E837" s="828" t="n"/>
      <c r="F837" s="829" t="n"/>
      <c r="G837" s="829" t="n"/>
      <c r="H837" s="830" t="n"/>
      <c r="I837" s="37" t="n"/>
      <c r="J837" s="37" t="n"/>
      <c r="K837" s="35">
        <f>IFERROR(I837+J837,0)</f>
        <v/>
      </c>
      <c r="U837" s="59" t="n"/>
      <c r="V837" s="59" t="n"/>
      <c r="W837" s="59" t="n"/>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IF(C838="","",ROW()-2)</f>
        <v/>
      </c>
      <c r="B838" s="825" t="n"/>
      <c r="C838" s="826" t="n"/>
      <c r="D838" s="827" t="n"/>
      <c r="E838" s="828" t="n"/>
      <c r="F838" s="829" t="n"/>
      <c r="G838" s="829" t="n"/>
      <c r="H838" s="830" t="n"/>
      <c r="I838" s="37" t="n"/>
      <c r="J838" s="37" t="n"/>
      <c r="K838" s="35">
        <f>IFERROR(I838+J838,0)</f>
        <v/>
      </c>
      <c r="U838" s="59" t="n"/>
      <c r="V838" s="59" t="n"/>
      <c r="W838" s="59" t="n"/>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IF(C839="","",ROW()-2)</f>
        <v/>
      </c>
      <c r="B839" s="825" t="n"/>
      <c r="C839" s="826" t="n"/>
      <c r="D839" s="827" t="n"/>
      <c r="E839" s="828" t="n"/>
      <c r="F839" s="829" t="n"/>
      <c r="G839" s="829" t="n"/>
      <c r="H839" s="830" t="n"/>
      <c r="I839" s="37" t="n"/>
      <c r="J839" s="37" t="n"/>
      <c r="K839" s="35">
        <f>IFERROR(I839+J839,0)</f>
        <v/>
      </c>
      <c r="U839" s="59" t="n"/>
      <c r="V839" s="59" t="n"/>
      <c r="W839" s="59" t="n"/>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IF(C840="","",ROW()-2)</f>
        <v/>
      </c>
      <c r="B840" s="825" t="n"/>
      <c r="C840" s="826" t="n"/>
      <c r="D840" s="827" t="n"/>
      <c r="E840" s="828" t="n"/>
      <c r="F840" s="829" t="n"/>
      <c r="G840" s="829" t="n"/>
      <c r="H840" s="830" t="n"/>
      <c r="I840" s="37" t="n"/>
      <c r="J840" s="37" t="n"/>
      <c r="K840" s="35">
        <f>IFERROR(I840+J840,0)</f>
        <v/>
      </c>
      <c r="U840" s="59" t="n"/>
      <c r="V840" s="59" t="n"/>
      <c r="W840" s="59" t="n"/>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IF(C841="","",ROW()-2)</f>
        <v/>
      </c>
      <c r="B841" s="825" t="n"/>
      <c r="C841" s="826" t="n"/>
      <c r="D841" s="827" t="n"/>
      <c r="E841" s="828" t="n"/>
      <c r="F841" s="829" t="n"/>
      <c r="G841" s="829" t="n"/>
      <c r="H841" s="830" t="n"/>
      <c r="I841" s="37" t="n"/>
      <c r="J841" s="37" t="n"/>
      <c r="K841" s="35">
        <f>IFERROR(I841+J841,0)</f>
        <v/>
      </c>
      <c r="U841" s="59" t="n"/>
      <c r="V841" s="59" t="n"/>
      <c r="W841" s="59" t="n"/>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IF(C842="","",ROW()-2)</f>
        <v/>
      </c>
      <c r="B842" s="825" t="n"/>
      <c r="C842" s="826" t="n"/>
      <c r="D842" s="827" t="n"/>
      <c r="E842" s="828" t="n"/>
      <c r="F842" s="829" t="n"/>
      <c r="G842" s="829" t="n"/>
      <c r="H842" s="830" t="n"/>
      <c r="I842" s="37" t="n"/>
      <c r="J842" s="37" t="n"/>
      <c r="K842" s="35">
        <f>IFERROR(I842+J842,0)</f>
        <v/>
      </c>
      <c r="U842" s="59" t="n"/>
      <c r="V842" s="59" t="n"/>
      <c r="W842" s="59" t="n"/>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IF(C843="","",ROW()-2)</f>
        <v/>
      </c>
      <c r="B843" s="825" t="n"/>
      <c r="C843" s="826" t="n"/>
      <c r="D843" s="827" t="n"/>
      <c r="E843" s="828" t="n"/>
      <c r="F843" s="829" t="n"/>
      <c r="G843" s="829" t="n"/>
      <c r="H843" s="830" t="n"/>
      <c r="I843" s="37" t="n"/>
      <c r="J843" s="37" t="n"/>
      <c r="K843" s="35">
        <f>IFERROR(I843+J843,0)</f>
        <v/>
      </c>
      <c r="U843" s="59" t="n"/>
      <c r="V843" s="59" t="n"/>
      <c r="W843" s="59" t="n"/>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IF(C844="","",ROW()-2)</f>
        <v/>
      </c>
      <c r="B844" s="825" t="n"/>
      <c r="C844" s="826" t="n"/>
      <c r="D844" s="827" t="n"/>
      <c r="E844" s="828" t="n"/>
      <c r="F844" s="829" t="n"/>
      <c r="G844" s="829" t="n"/>
      <c r="H844" s="830" t="n"/>
      <c r="I844" s="37" t="n"/>
      <c r="J844" s="37" t="n"/>
      <c r="K844" s="35">
        <f>IFERROR(I844+J844,0)</f>
        <v/>
      </c>
      <c r="U844" s="59" t="n"/>
      <c r="V844" s="59" t="n"/>
      <c r="W844" s="59" t="n"/>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IF(C845="","",ROW()-2)</f>
        <v/>
      </c>
      <c r="B845" s="825" t="n"/>
      <c r="C845" s="826" t="n"/>
      <c r="D845" s="827" t="n"/>
      <c r="E845" s="828" t="n"/>
      <c r="F845" s="829" t="n"/>
      <c r="G845" s="829" t="n"/>
      <c r="H845" s="830" t="n"/>
      <c r="I845" s="37" t="n"/>
      <c r="J845" s="37" t="n"/>
      <c r="K845" s="35">
        <f>IFERROR(I845+J845,0)</f>
        <v/>
      </c>
      <c r="U845" s="59" t="n"/>
      <c r="V845" s="59" t="n"/>
      <c r="W845" s="59" t="n"/>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IF(C846="","",ROW()-2)</f>
        <v/>
      </c>
      <c r="B846" s="825" t="n"/>
      <c r="C846" s="826" t="n"/>
      <c r="D846" s="827" t="n"/>
      <c r="E846" s="828" t="n"/>
      <c r="F846" s="829" t="n"/>
      <c r="G846" s="829" t="n"/>
      <c r="H846" s="830" t="n"/>
      <c r="I846" s="37" t="n"/>
      <c r="J846" s="37" t="n"/>
      <c r="K846" s="35">
        <f>IFERROR(I846+J846,0)</f>
        <v/>
      </c>
      <c r="U846" s="59" t="n"/>
      <c r="V846" s="59" t="n"/>
      <c r="W846" s="59" t="n"/>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IF(C847="","",ROW()-2)</f>
        <v/>
      </c>
      <c r="B847" s="825" t="n"/>
      <c r="C847" s="826" t="n"/>
      <c r="D847" s="827" t="n"/>
      <c r="E847" s="828" t="n"/>
      <c r="F847" s="829" t="n"/>
      <c r="G847" s="829" t="n"/>
      <c r="H847" s="830" t="n"/>
      <c r="I847" s="37" t="n"/>
      <c r="J847" s="37" t="n"/>
      <c r="K847" s="35">
        <f>IFERROR(I847+J847,0)</f>
        <v/>
      </c>
      <c r="U847" s="59" t="n"/>
      <c r="V847" s="59" t="n"/>
      <c r="W847" s="59" t="n"/>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IF(C848="","",ROW()-2)</f>
        <v/>
      </c>
      <c r="B848" s="825" t="n"/>
      <c r="C848" s="826" t="n"/>
      <c r="D848" s="827" t="n"/>
      <c r="E848" s="828" t="n"/>
      <c r="F848" s="829" t="n"/>
      <c r="G848" s="829" t="n"/>
      <c r="H848" s="830" t="n"/>
      <c r="I848" s="37" t="n"/>
      <c r="J848" s="37" t="n"/>
      <c r="K848" s="35">
        <f>IFERROR(I848+J848,0)</f>
        <v/>
      </c>
      <c r="U848" s="59" t="n"/>
      <c r="V848" s="59" t="n"/>
      <c r="W848" s="59" t="n"/>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IF(C849="","",ROW()-2)</f>
        <v/>
      </c>
      <c r="B849" s="825" t="n"/>
      <c r="C849" s="826" t="n"/>
      <c r="D849" s="827" t="n"/>
      <c r="E849" s="828" t="n"/>
      <c r="F849" s="829" t="n"/>
      <c r="G849" s="829" t="n"/>
      <c r="H849" s="830" t="n"/>
      <c r="I849" s="37" t="n"/>
      <c r="J849" s="37" t="n"/>
      <c r="K849" s="35">
        <f>IFERROR(I849+J849,0)</f>
        <v/>
      </c>
      <c r="U849" s="59" t="n"/>
      <c r="V849" s="59" t="n"/>
      <c r="W849" s="59" t="n"/>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IF(C850="","",ROW()-2)</f>
        <v/>
      </c>
      <c r="B850" s="825" t="n"/>
      <c r="C850" s="826" t="n"/>
      <c r="D850" s="827" t="n"/>
      <c r="E850" s="828" t="n"/>
      <c r="F850" s="829" t="n"/>
      <c r="G850" s="829" t="n"/>
      <c r="H850" s="830" t="n"/>
      <c r="I850" s="37" t="n"/>
      <c r="J850" s="37" t="n"/>
      <c r="K850" s="35">
        <f>IFERROR(I850+J850,0)</f>
        <v/>
      </c>
      <c r="U850" s="59" t="n"/>
      <c r="V850" s="59" t="n"/>
      <c r="W850" s="59" t="n"/>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IF(C851="","",ROW()-2)</f>
        <v/>
      </c>
      <c r="B851" s="825" t="n"/>
      <c r="C851" s="826" t="n"/>
      <c r="D851" s="827" t="n"/>
      <c r="E851" s="828" t="n"/>
      <c r="F851" s="829" t="n"/>
      <c r="G851" s="829" t="n"/>
      <c r="H851" s="830" t="n"/>
      <c r="I851" s="37" t="n"/>
      <c r="J851" s="37" t="n"/>
      <c r="K851" s="35">
        <f>IFERROR(I851+J851,0)</f>
        <v/>
      </c>
      <c r="U851" s="59" t="n"/>
      <c r="V851" s="59" t="n"/>
      <c r="W851" s="59" t="n"/>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IF(C852="","",ROW()-2)</f>
        <v/>
      </c>
      <c r="B852" s="825" t="n"/>
      <c r="C852" s="826" t="n"/>
      <c r="D852" s="827" t="n"/>
      <c r="E852" s="828" t="n"/>
      <c r="F852" s="829" t="n"/>
      <c r="G852" s="829" t="n"/>
      <c r="H852" s="830" t="n"/>
      <c r="I852" s="37" t="n"/>
      <c r="J852" s="37" t="n"/>
      <c r="K852" s="35">
        <f>IFERROR(I852+J852,0)</f>
        <v/>
      </c>
      <c r="U852" s="59" t="n"/>
      <c r="V852" s="59" t="n"/>
      <c r="W852" s="59" t="n"/>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IF(C853="","",ROW()-2)</f>
        <v/>
      </c>
      <c r="B853" s="825" t="n"/>
      <c r="C853" s="826" t="n"/>
      <c r="D853" s="827" t="n"/>
      <c r="E853" s="828" t="n"/>
      <c r="F853" s="829" t="n"/>
      <c r="G853" s="829" t="n"/>
      <c r="H853" s="830" t="n"/>
      <c r="I853" s="37" t="n"/>
      <c r="J853" s="37" t="n"/>
      <c r="K853" s="35">
        <f>IFERROR(I853+J853,0)</f>
        <v/>
      </c>
      <c r="U853" s="59" t="n"/>
      <c r="V853" s="59" t="n"/>
      <c r="W853" s="59" t="n"/>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IF(C854="","",ROW()-2)</f>
        <v/>
      </c>
      <c r="B854" s="825" t="n"/>
      <c r="C854" s="826" t="n"/>
      <c r="D854" s="827" t="n"/>
      <c r="E854" s="828" t="n"/>
      <c r="F854" s="829" t="n"/>
      <c r="G854" s="829" t="n"/>
      <c r="H854" s="830" t="n"/>
      <c r="I854" s="37" t="n"/>
      <c r="J854" s="37" t="n"/>
      <c r="K854" s="35">
        <f>IFERROR(I854+J854,0)</f>
        <v/>
      </c>
      <c r="U854" s="59" t="n"/>
      <c r="V854" s="59" t="n"/>
      <c r="W854" s="59" t="n"/>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IF(C855="","",ROW()-2)</f>
        <v/>
      </c>
      <c r="B855" s="825" t="n"/>
      <c r="C855" s="826" t="n"/>
      <c r="D855" s="827" t="n"/>
      <c r="E855" s="828" t="n"/>
      <c r="F855" s="829" t="n"/>
      <c r="G855" s="829" t="n"/>
      <c r="H855" s="830" t="n"/>
      <c r="I855" s="37" t="n"/>
      <c r="J855" s="37" t="n"/>
      <c r="K855" s="35">
        <f>IFERROR(I855+J855,0)</f>
        <v/>
      </c>
      <c r="U855" s="59" t="n"/>
      <c r="V855" s="59" t="n"/>
      <c r="W855" s="59" t="n"/>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IF(C856="","",ROW()-2)</f>
        <v/>
      </c>
      <c r="B856" s="825" t="n"/>
      <c r="C856" s="826" t="n"/>
      <c r="D856" s="827" t="n"/>
      <c r="E856" s="828" t="n"/>
      <c r="F856" s="829" t="n"/>
      <c r="G856" s="829" t="n"/>
      <c r="H856" s="830" t="n"/>
      <c r="I856" s="37" t="n"/>
      <c r="J856" s="37" t="n"/>
      <c r="K856" s="35">
        <f>IFERROR(I856+J856,0)</f>
        <v/>
      </c>
      <c r="U856" s="59" t="n"/>
      <c r="V856" s="59" t="n"/>
      <c r="W856" s="59" t="n"/>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IF(C857="","",ROW()-2)</f>
        <v/>
      </c>
      <c r="B857" s="825" t="n"/>
      <c r="C857" s="826" t="n"/>
      <c r="D857" s="827" t="n"/>
      <c r="E857" s="828" t="n"/>
      <c r="F857" s="829" t="n"/>
      <c r="G857" s="829" t="n"/>
      <c r="H857" s="830" t="n"/>
      <c r="I857" s="37" t="n"/>
      <c r="J857" s="37" t="n"/>
      <c r="K857" s="35">
        <f>IFERROR(I857+J857,0)</f>
        <v/>
      </c>
      <c r="U857" s="59" t="n"/>
      <c r="V857" s="59" t="n"/>
      <c r="W857" s="59" t="n"/>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IF(C858="","",ROW()-2)</f>
        <v/>
      </c>
      <c r="B858" s="825" t="n"/>
      <c r="C858" s="826" t="n"/>
      <c r="D858" s="827" t="n"/>
      <c r="E858" s="828" t="n"/>
      <c r="F858" s="829" t="n"/>
      <c r="G858" s="829" t="n"/>
      <c r="H858" s="830" t="n"/>
      <c r="I858" s="37" t="n"/>
      <c r="J858" s="37" t="n"/>
      <c r="K858" s="35">
        <f>IFERROR(I858+J858,0)</f>
        <v/>
      </c>
      <c r="U858" s="59" t="n"/>
      <c r="V858" s="59" t="n"/>
      <c r="W858" s="59" t="n"/>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IF(C859="","",ROW()-2)</f>
        <v/>
      </c>
      <c r="B859" s="825" t="n"/>
      <c r="C859" s="826" t="n"/>
      <c r="D859" s="827" t="n"/>
      <c r="E859" s="828" t="n"/>
      <c r="F859" s="829" t="n"/>
      <c r="G859" s="829" t="n"/>
      <c r="H859" s="830" t="n"/>
      <c r="I859" s="37" t="n"/>
      <c r="J859" s="37" t="n"/>
      <c r="K859" s="35">
        <f>IFERROR(I859+J859,0)</f>
        <v/>
      </c>
      <c r="U859" s="59" t="n"/>
      <c r="V859" s="59" t="n"/>
      <c r="W859" s="59" t="n"/>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IF(C860="","",ROW()-2)</f>
        <v/>
      </c>
      <c r="B860" s="825" t="n"/>
      <c r="C860" s="826" t="n"/>
      <c r="D860" s="827" t="n"/>
      <c r="E860" s="828" t="n"/>
      <c r="F860" s="829" t="n"/>
      <c r="G860" s="829" t="n"/>
      <c r="H860" s="830" t="n"/>
      <c r="I860" s="37" t="n"/>
      <c r="J860" s="37" t="n"/>
      <c r="K860" s="35">
        <f>IFERROR(I860+J860,0)</f>
        <v/>
      </c>
      <c r="U860" s="59" t="n"/>
      <c r="V860" s="59" t="n"/>
      <c r="W860" s="59" t="n"/>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IF(C861="","",ROW()-2)</f>
        <v/>
      </c>
      <c r="B861" s="825" t="n"/>
      <c r="C861" s="826" t="n"/>
      <c r="D861" s="827" t="n"/>
      <c r="E861" s="828" t="n"/>
      <c r="F861" s="829" t="n"/>
      <c r="G861" s="829" t="n"/>
      <c r="H861" s="830" t="n"/>
      <c r="I861" s="37" t="n"/>
      <c r="J861" s="37" t="n"/>
      <c r="K861" s="35">
        <f>IFERROR(I861+J861,0)</f>
        <v/>
      </c>
      <c r="U861" s="59" t="n"/>
      <c r="V861" s="59" t="n"/>
      <c r="W861" s="59" t="n"/>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IF(C862="","",ROW()-2)</f>
        <v/>
      </c>
      <c r="B862" s="825" t="n"/>
      <c r="C862" s="826" t="n"/>
      <c r="D862" s="827" t="n"/>
      <c r="E862" s="828" t="n"/>
      <c r="F862" s="829" t="n"/>
      <c r="G862" s="829" t="n"/>
      <c r="H862" s="830" t="n"/>
      <c r="I862" s="37" t="n"/>
      <c r="J862" s="37" t="n"/>
      <c r="K862" s="35">
        <f>IFERROR(I862+J862,0)</f>
        <v/>
      </c>
      <c r="U862" s="59" t="n"/>
      <c r="V862" s="59" t="n"/>
      <c r="W862" s="59" t="n"/>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IF(C863="","",ROW()-2)</f>
        <v/>
      </c>
      <c r="B863" s="825" t="n"/>
      <c r="C863" s="826" t="n"/>
      <c r="D863" s="827" t="n"/>
      <c r="E863" s="828" t="n"/>
      <c r="F863" s="829" t="n"/>
      <c r="G863" s="829" t="n"/>
      <c r="H863" s="830" t="n"/>
      <c r="I863" s="37" t="n"/>
      <c r="J863" s="37" t="n"/>
      <c r="K863" s="35">
        <f>IFERROR(I863+J863,0)</f>
        <v/>
      </c>
      <c r="U863" s="59" t="n"/>
      <c r="V863" s="59" t="n"/>
      <c r="W863" s="59" t="n"/>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IF(C864="","",ROW()-2)</f>
        <v/>
      </c>
      <c r="B864" s="825" t="n"/>
      <c r="C864" s="826" t="n"/>
      <c r="D864" s="827" t="n"/>
      <c r="E864" s="828" t="n"/>
      <c r="F864" s="829" t="n"/>
      <c r="G864" s="829" t="n"/>
      <c r="H864" s="830" t="n"/>
      <c r="I864" s="37" t="n"/>
      <c r="J864" s="37" t="n"/>
      <c r="K864" s="35">
        <f>IFERROR(I864+J864,0)</f>
        <v/>
      </c>
      <c r="U864" s="59" t="n"/>
      <c r="V864" s="59" t="n"/>
      <c r="W864" s="59" t="n"/>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IF(C865="","",ROW()-2)</f>
        <v/>
      </c>
      <c r="B865" s="825" t="n"/>
      <c r="C865" s="826" t="n"/>
      <c r="D865" s="827" t="n"/>
      <c r="E865" s="828" t="n"/>
      <c r="F865" s="829" t="n"/>
      <c r="G865" s="829" t="n"/>
      <c r="H865" s="830" t="n"/>
      <c r="I865" s="37" t="n"/>
      <c r="J865" s="37" t="n"/>
      <c r="K865" s="35">
        <f>IFERROR(I865+J865,0)</f>
        <v/>
      </c>
      <c r="U865" s="59" t="n"/>
      <c r="V865" s="59" t="n"/>
      <c r="W865" s="59" t="n"/>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IF(C866="","",ROW()-2)</f>
        <v/>
      </c>
      <c r="B866" s="825" t="n"/>
      <c r="C866" s="826" t="n"/>
      <c r="D866" s="827" t="n"/>
      <c r="E866" s="828" t="n"/>
      <c r="F866" s="829" t="n"/>
      <c r="G866" s="829" t="n"/>
      <c r="H866" s="830" t="n"/>
      <c r="I866" s="37" t="n"/>
      <c r="J866" s="37" t="n"/>
      <c r="K866" s="35">
        <f>IFERROR(I866+J866,0)</f>
        <v/>
      </c>
      <c r="U866" s="59" t="n"/>
      <c r="V866" s="59" t="n"/>
      <c r="W866" s="59" t="n"/>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IF(C867="","",ROW()-2)</f>
        <v/>
      </c>
      <c r="B867" s="825" t="n"/>
      <c r="C867" s="826" t="n"/>
      <c r="D867" s="827" t="n"/>
      <c r="E867" s="828" t="n"/>
      <c r="F867" s="829" t="n"/>
      <c r="G867" s="829" t="n"/>
      <c r="H867" s="830" t="n"/>
      <c r="I867" s="37" t="n"/>
      <c r="J867" s="37" t="n"/>
      <c r="K867" s="35">
        <f>IFERROR(I867+J867,0)</f>
        <v/>
      </c>
      <c r="U867" s="59" t="n"/>
      <c r="V867" s="59" t="n"/>
      <c r="W867" s="59" t="n"/>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IF(C868="","",ROW()-2)</f>
        <v/>
      </c>
      <c r="B868" s="825" t="n"/>
      <c r="C868" s="826" t="n"/>
      <c r="D868" s="827" t="n"/>
      <c r="E868" s="828" t="n"/>
      <c r="F868" s="829" t="n"/>
      <c r="G868" s="829" t="n"/>
      <c r="H868" s="830" t="n"/>
      <c r="I868" s="37" t="n"/>
      <c r="J868" s="37" t="n"/>
      <c r="K868" s="35">
        <f>IFERROR(I868+J868,0)</f>
        <v/>
      </c>
      <c r="U868" s="59" t="n"/>
      <c r="V868" s="59" t="n"/>
      <c r="W868" s="59" t="n"/>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IF(C869="","",ROW()-2)</f>
        <v/>
      </c>
      <c r="B869" s="825" t="n"/>
      <c r="C869" s="826" t="n"/>
      <c r="D869" s="827" t="n"/>
      <c r="E869" s="828" t="n"/>
      <c r="F869" s="829" t="n"/>
      <c r="G869" s="829" t="n"/>
      <c r="H869" s="830" t="n"/>
      <c r="I869" s="37" t="n"/>
      <c r="J869" s="37" t="n"/>
      <c r="K869" s="35">
        <f>IFERROR(I869+J869,0)</f>
        <v/>
      </c>
      <c r="U869" s="59" t="n"/>
      <c r="V869" s="59" t="n"/>
      <c r="W869" s="59" t="n"/>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IF(C870="","",ROW()-2)</f>
        <v/>
      </c>
      <c r="B870" s="825" t="n"/>
      <c r="C870" s="826" t="n"/>
      <c r="D870" s="827" t="n"/>
      <c r="E870" s="828" t="n"/>
      <c r="F870" s="829" t="n"/>
      <c r="G870" s="829" t="n"/>
      <c r="H870" s="830" t="n"/>
      <c r="I870" s="37" t="n"/>
      <c r="J870" s="37" t="n"/>
      <c r="K870" s="35">
        <f>IFERROR(I870+J870,0)</f>
        <v/>
      </c>
      <c r="U870" s="59" t="n"/>
      <c r="V870" s="59" t="n"/>
      <c r="W870" s="59" t="n"/>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IF(C871="","",ROW()-2)</f>
        <v/>
      </c>
      <c r="B871" s="825" t="n"/>
      <c r="C871" s="826" t="n"/>
      <c r="D871" s="827" t="n"/>
      <c r="E871" s="828" t="n"/>
      <c r="F871" s="829" t="n"/>
      <c r="G871" s="829" t="n"/>
      <c r="H871" s="830" t="n"/>
      <c r="I871" s="37" t="n"/>
      <c r="J871" s="37" t="n"/>
      <c r="K871" s="35">
        <f>IFERROR(I871+J871,0)</f>
        <v/>
      </c>
      <c r="U871" s="59" t="n"/>
      <c r="V871" s="59" t="n"/>
      <c r="W871" s="59" t="n"/>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IF(C872="","",ROW()-2)</f>
        <v/>
      </c>
      <c r="B872" s="825" t="n"/>
      <c r="C872" s="826" t="n"/>
      <c r="D872" s="827" t="n"/>
      <c r="E872" s="828" t="n"/>
      <c r="F872" s="829" t="n"/>
      <c r="G872" s="829" t="n"/>
      <c r="H872" s="830" t="n"/>
      <c r="I872" s="37" t="n"/>
      <c r="J872" s="37" t="n"/>
      <c r="K872" s="35">
        <f>IFERROR(I872+J872,0)</f>
        <v/>
      </c>
      <c r="U872" s="59" t="n"/>
      <c r="V872" s="59" t="n"/>
      <c r="W872" s="59" t="n"/>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IF(C873="","",ROW()-2)</f>
        <v/>
      </c>
      <c r="B873" s="825" t="n"/>
      <c r="C873" s="826" t="n"/>
      <c r="D873" s="827" t="n"/>
      <c r="E873" s="828" t="n"/>
      <c r="F873" s="829" t="n"/>
      <c r="G873" s="829" t="n"/>
      <c r="H873" s="830" t="n"/>
      <c r="I873" s="37" t="n"/>
      <c r="J873" s="37" t="n"/>
      <c r="K873" s="35">
        <f>IFERROR(I873+J873,0)</f>
        <v/>
      </c>
      <c r="U873" s="59" t="n"/>
      <c r="V873" s="59" t="n"/>
      <c r="W873" s="59" t="n"/>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IF(C874="","",ROW()-2)</f>
        <v/>
      </c>
      <c r="B874" s="825" t="n"/>
      <c r="C874" s="826" t="n"/>
      <c r="D874" s="827" t="n"/>
      <c r="E874" s="828" t="n"/>
      <c r="F874" s="829" t="n"/>
      <c r="G874" s="829" t="n"/>
      <c r="H874" s="830" t="n"/>
      <c r="I874" s="37" t="n"/>
      <c r="J874" s="37" t="n"/>
      <c r="K874" s="35">
        <f>IFERROR(I874+J874,0)</f>
        <v/>
      </c>
      <c r="U874" s="59" t="n"/>
      <c r="V874" s="59" t="n"/>
      <c r="W874" s="59" t="n"/>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IF(C875="","",ROW()-2)</f>
        <v/>
      </c>
      <c r="B875" s="825" t="n"/>
      <c r="C875" s="826" t="n"/>
      <c r="D875" s="827" t="n"/>
      <c r="E875" s="828" t="n"/>
      <c r="F875" s="829" t="n"/>
      <c r="G875" s="829" t="n"/>
      <c r="H875" s="830" t="n"/>
      <c r="I875" s="37" t="n"/>
      <c r="J875" s="37" t="n"/>
      <c r="K875" s="35">
        <f>IFERROR(I875+J875,0)</f>
        <v/>
      </c>
      <c r="U875" s="59" t="n"/>
      <c r="V875" s="59" t="n"/>
      <c r="W875" s="59" t="n"/>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IF(C876="","",ROW()-2)</f>
        <v/>
      </c>
      <c r="B876" s="825" t="n"/>
      <c r="C876" s="826" t="n"/>
      <c r="D876" s="827" t="n"/>
      <c r="E876" s="828" t="n"/>
      <c r="F876" s="829" t="n"/>
      <c r="G876" s="829" t="n"/>
      <c r="H876" s="830" t="n"/>
      <c r="I876" s="37" t="n"/>
      <c r="J876" s="37" t="n"/>
      <c r="K876" s="35">
        <f>IFERROR(I876+J876,0)</f>
        <v/>
      </c>
      <c r="U876" s="59" t="n"/>
      <c r="V876" s="59" t="n"/>
      <c r="W876" s="59" t="n"/>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IF(C877="","",ROW()-2)</f>
        <v/>
      </c>
      <c r="B877" s="825" t="n"/>
      <c r="C877" s="826" t="n"/>
      <c r="D877" s="827" t="n"/>
      <c r="E877" s="828" t="n"/>
      <c r="F877" s="829" t="n"/>
      <c r="G877" s="829" t="n"/>
      <c r="H877" s="830" t="n"/>
      <c r="I877" s="37" t="n"/>
      <c r="J877" s="37" t="n"/>
      <c r="K877" s="35">
        <f>IFERROR(I877+J877,0)</f>
        <v/>
      </c>
      <c r="U877" s="59" t="n"/>
      <c r="V877" s="59" t="n"/>
      <c r="W877" s="59" t="n"/>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IF(C878="","",ROW()-2)</f>
        <v/>
      </c>
      <c r="B878" s="825" t="n"/>
      <c r="C878" s="826" t="n"/>
      <c r="D878" s="827" t="n"/>
      <c r="E878" s="828" t="n"/>
      <c r="F878" s="829" t="n"/>
      <c r="G878" s="829" t="n"/>
      <c r="H878" s="830" t="n"/>
      <c r="I878" s="37" t="n"/>
      <c r="J878" s="37" t="n"/>
      <c r="K878" s="35">
        <f>IFERROR(I878+J878,0)</f>
        <v/>
      </c>
      <c r="U878" s="59" t="n"/>
      <c r="V878" s="59" t="n"/>
      <c r="W878" s="59" t="n"/>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IF(C879="","",ROW()-2)</f>
        <v/>
      </c>
      <c r="B879" s="825" t="n"/>
      <c r="C879" s="826" t="n"/>
      <c r="D879" s="827" t="n"/>
      <c r="E879" s="828" t="n"/>
      <c r="F879" s="829" t="n"/>
      <c r="G879" s="829" t="n"/>
      <c r="H879" s="830" t="n"/>
      <c r="I879" s="37" t="n"/>
      <c r="J879" s="37" t="n"/>
      <c r="K879" s="35">
        <f>IFERROR(I879+J879,0)</f>
        <v/>
      </c>
      <c r="U879" s="59" t="n"/>
      <c r="V879" s="59" t="n"/>
      <c r="W879" s="59" t="n"/>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IF(C880="","",ROW()-2)</f>
        <v/>
      </c>
      <c r="B880" s="825" t="n"/>
      <c r="C880" s="826" t="n"/>
      <c r="D880" s="827" t="n"/>
      <c r="E880" s="828" t="n"/>
      <c r="F880" s="829" t="n"/>
      <c r="G880" s="829" t="n"/>
      <c r="H880" s="830" t="n"/>
      <c r="I880" s="37" t="n"/>
      <c r="J880" s="37" t="n"/>
      <c r="K880" s="35">
        <f>IFERROR(I880+J880,0)</f>
        <v/>
      </c>
      <c r="U880" s="59" t="n"/>
      <c r="V880" s="59" t="n"/>
      <c r="W880" s="59" t="n"/>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IF(C881="","",ROW()-2)</f>
        <v/>
      </c>
      <c r="B881" s="825" t="n"/>
      <c r="C881" s="826" t="n"/>
      <c r="D881" s="827" t="n"/>
      <c r="E881" s="828" t="n"/>
      <c r="F881" s="829" t="n"/>
      <c r="G881" s="829" t="n"/>
      <c r="H881" s="830" t="n"/>
      <c r="I881" s="37" t="n"/>
      <c r="J881" s="37" t="n"/>
      <c r="K881" s="35">
        <f>IFERROR(I881+J881,0)</f>
        <v/>
      </c>
      <c r="U881" s="59" t="n"/>
      <c r="V881" s="59" t="n"/>
      <c r="W881" s="59" t="n"/>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IF(C882="","",ROW()-2)</f>
        <v/>
      </c>
      <c r="B882" s="825" t="n"/>
      <c r="C882" s="826" t="n"/>
      <c r="D882" s="827" t="n"/>
      <c r="E882" s="828" t="n"/>
      <c r="F882" s="829" t="n"/>
      <c r="G882" s="829" t="n"/>
      <c r="H882" s="830" t="n"/>
      <c r="I882" s="37" t="n"/>
      <c r="J882" s="37" t="n"/>
      <c r="K882" s="35">
        <f>IFERROR(I882+J882,0)</f>
        <v/>
      </c>
      <c r="U882" s="59" t="n"/>
      <c r="V882" s="59" t="n"/>
      <c r="W882" s="59" t="n"/>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IF(C883="","",ROW()-2)</f>
        <v/>
      </c>
      <c r="B883" s="825" t="n"/>
      <c r="C883" s="826" t="n"/>
      <c r="D883" s="827" t="n"/>
      <c r="E883" s="828" t="n"/>
      <c r="F883" s="829" t="n"/>
      <c r="G883" s="829" t="n"/>
      <c r="H883" s="830" t="n"/>
      <c r="I883" s="37" t="n"/>
      <c r="J883" s="37" t="n"/>
      <c r="K883" s="35">
        <f>IFERROR(I883+J883,0)</f>
        <v/>
      </c>
      <c r="U883" s="59" t="n"/>
      <c r="V883" s="59" t="n"/>
      <c r="W883" s="59" t="n"/>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IF(C884="","",ROW()-2)</f>
        <v/>
      </c>
      <c r="B884" s="825" t="n"/>
      <c r="C884" s="826" t="n"/>
      <c r="D884" s="827" t="n"/>
      <c r="E884" s="828" t="n"/>
      <c r="F884" s="829" t="n"/>
      <c r="G884" s="829" t="n"/>
      <c r="H884" s="830" t="n"/>
      <c r="I884" s="37" t="n"/>
      <c r="J884" s="37" t="n"/>
      <c r="K884" s="35">
        <f>IFERROR(I884+J884,0)</f>
        <v/>
      </c>
      <c r="U884" s="59" t="n"/>
      <c r="V884" s="59" t="n"/>
      <c r="W884" s="59" t="n"/>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IF(C885="","",ROW()-2)</f>
        <v/>
      </c>
      <c r="B885" s="825" t="n"/>
      <c r="C885" s="826" t="n"/>
      <c r="D885" s="827" t="n"/>
      <c r="E885" s="828" t="n"/>
      <c r="F885" s="829" t="n"/>
      <c r="G885" s="829" t="n"/>
      <c r="H885" s="830" t="n"/>
      <c r="I885" s="37" t="n"/>
      <c r="J885" s="37" t="n"/>
      <c r="K885" s="35">
        <f>IFERROR(I885+J885,0)</f>
        <v/>
      </c>
      <c r="U885" s="59" t="n"/>
      <c r="V885" s="59" t="n"/>
      <c r="W885" s="59" t="n"/>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IF(C886="","",ROW()-2)</f>
        <v/>
      </c>
      <c r="B886" s="825" t="n"/>
      <c r="C886" s="826" t="n"/>
      <c r="D886" s="827" t="n"/>
      <c r="E886" s="828" t="n"/>
      <c r="F886" s="829" t="n"/>
      <c r="G886" s="829" t="n"/>
      <c r="H886" s="830" t="n"/>
      <c r="I886" s="37" t="n"/>
      <c r="J886" s="37" t="n"/>
      <c r="K886" s="35">
        <f>IFERROR(I886+J886,0)</f>
        <v/>
      </c>
      <c r="U886" s="59" t="n"/>
      <c r="V886" s="59" t="n"/>
      <c r="W886" s="59" t="n"/>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IF(C887="","",ROW()-2)</f>
        <v/>
      </c>
      <c r="B887" s="825" t="n"/>
      <c r="C887" s="826" t="n"/>
      <c r="D887" s="827" t="n"/>
      <c r="E887" s="828" t="n"/>
      <c r="F887" s="829" t="n"/>
      <c r="G887" s="829" t="n"/>
      <c r="H887" s="830" t="n"/>
      <c r="I887" s="37" t="n"/>
      <c r="J887" s="37" t="n"/>
      <c r="K887" s="35">
        <f>IFERROR(I887+J887,0)</f>
        <v/>
      </c>
      <c r="U887" s="59" t="n"/>
      <c r="V887" s="59" t="n"/>
      <c r="W887" s="59" t="n"/>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IF(C888="","",ROW()-2)</f>
        <v/>
      </c>
      <c r="B888" s="825" t="n"/>
      <c r="C888" s="826" t="n"/>
      <c r="D888" s="827" t="n"/>
      <c r="E888" s="828" t="n"/>
      <c r="F888" s="829" t="n"/>
      <c r="G888" s="829" t="n"/>
      <c r="H888" s="830" t="n"/>
      <c r="I888" s="37" t="n"/>
      <c r="J888" s="37" t="n"/>
      <c r="K888" s="35">
        <f>IFERROR(I888+J888,0)</f>
        <v/>
      </c>
      <c r="U888" s="59" t="n"/>
      <c r="V888" s="59" t="n"/>
      <c r="W888" s="59" t="n"/>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IF(C889="","",ROW()-2)</f>
        <v/>
      </c>
      <c r="B889" s="825" t="n"/>
      <c r="C889" s="826" t="n"/>
      <c r="D889" s="827" t="n"/>
      <c r="E889" s="828" t="n"/>
      <c r="F889" s="829" t="n"/>
      <c r="G889" s="829" t="n"/>
      <c r="H889" s="830" t="n"/>
      <c r="I889" s="37" t="n"/>
      <c r="J889" s="37" t="n"/>
      <c r="K889" s="35">
        <f>IFERROR(I889+J889,0)</f>
        <v/>
      </c>
      <c r="U889" s="59" t="n"/>
      <c r="V889" s="59" t="n"/>
      <c r="W889" s="59" t="n"/>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IF(C890="","",ROW()-2)</f>
        <v/>
      </c>
      <c r="B890" s="825" t="n"/>
      <c r="C890" s="826" t="n"/>
      <c r="D890" s="827" t="n"/>
      <c r="E890" s="828" t="n"/>
      <c r="F890" s="829" t="n"/>
      <c r="G890" s="829" t="n"/>
      <c r="H890" s="830" t="n"/>
      <c r="I890" s="37" t="n"/>
      <c r="J890" s="37" t="n"/>
      <c r="K890" s="35">
        <f>IFERROR(I890+J890,0)</f>
        <v/>
      </c>
      <c r="U890" s="59" t="n"/>
      <c r="V890" s="59" t="n"/>
      <c r="W890" s="59" t="n"/>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IF(C891="","",ROW()-2)</f>
        <v/>
      </c>
      <c r="B891" s="825" t="n"/>
      <c r="C891" s="826" t="n"/>
      <c r="D891" s="827" t="n"/>
      <c r="E891" s="828" t="n"/>
      <c r="F891" s="829" t="n"/>
      <c r="G891" s="829" t="n"/>
      <c r="H891" s="830" t="n"/>
      <c r="I891" s="37" t="n"/>
      <c r="J891" s="37" t="n"/>
      <c r="K891" s="35">
        <f>IFERROR(I891+J891,0)</f>
        <v/>
      </c>
      <c r="U891" s="59" t="n"/>
      <c r="V891" s="59" t="n"/>
      <c r="W891" s="59" t="n"/>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IF(C892="","",ROW()-2)</f>
        <v/>
      </c>
      <c r="B892" s="825" t="n"/>
      <c r="C892" s="826" t="n"/>
      <c r="D892" s="827" t="n"/>
      <c r="E892" s="828" t="n"/>
      <c r="F892" s="829" t="n"/>
      <c r="G892" s="829" t="n"/>
      <c r="H892" s="830" t="n"/>
      <c r="I892" s="37" t="n"/>
      <c r="J892" s="37" t="n"/>
      <c r="K892" s="35">
        <f>IFERROR(I892+J892,0)</f>
        <v/>
      </c>
      <c r="U892" s="59" t="n"/>
      <c r="V892" s="59" t="n"/>
      <c r="W892" s="59" t="n"/>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IF(C893="","",ROW()-2)</f>
        <v/>
      </c>
      <c r="B893" s="825" t="n"/>
      <c r="C893" s="826" t="n"/>
      <c r="D893" s="827" t="n"/>
      <c r="E893" s="828" t="n"/>
      <c r="F893" s="829" t="n"/>
      <c r="G893" s="829" t="n"/>
      <c r="H893" s="830" t="n"/>
      <c r="I893" s="37" t="n"/>
      <c r="J893" s="37" t="n"/>
      <c r="K893" s="35">
        <f>IFERROR(I893+J893,0)</f>
        <v/>
      </c>
      <c r="U893" s="59" t="n"/>
      <c r="V893" s="59" t="n"/>
      <c r="W893" s="59" t="n"/>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IF(C894="","",ROW()-2)</f>
        <v/>
      </c>
      <c r="B894" s="825" t="n"/>
      <c r="C894" s="826" t="n"/>
      <c r="D894" s="827" t="n"/>
      <c r="E894" s="828" t="n"/>
      <c r="F894" s="829" t="n"/>
      <c r="G894" s="829" t="n"/>
      <c r="H894" s="830" t="n"/>
      <c r="I894" s="37" t="n"/>
      <c r="J894" s="37" t="n"/>
      <c r="K894" s="35">
        <f>IFERROR(I894+J894,0)</f>
        <v/>
      </c>
      <c r="U894" s="59" t="n"/>
      <c r="V894" s="59" t="n"/>
      <c r="W894" s="59" t="n"/>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IF(C895="","",ROW()-2)</f>
        <v/>
      </c>
      <c r="B895" s="825" t="n"/>
      <c r="C895" s="826" t="n"/>
      <c r="D895" s="827" t="n"/>
      <c r="E895" s="828" t="n"/>
      <c r="F895" s="829" t="n"/>
      <c r="G895" s="829" t="n"/>
      <c r="H895" s="830" t="n"/>
      <c r="I895" s="37" t="n"/>
      <c r="J895" s="37" t="n"/>
      <c r="K895" s="35">
        <f>IFERROR(I895+J895,0)</f>
        <v/>
      </c>
      <c r="U895" s="59" t="n"/>
      <c r="V895" s="59" t="n"/>
      <c r="W895" s="59" t="n"/>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IF(C896="","",ROW()-2)</f>
        <v/>
      </c>
      <c r="B896" s="825" t="n"/>
      <c r="C896" s="826" t="n"/>
      <c r="D896" s="827" t="n"/>
      <c r="E896" s="828" t="n"/>
      <c r="F896" s="829" t="n"/>
      <c r="G896" s="829" t="n"/>
      <c r="H896" s="830" t="n"/>
      <c r="I896" s="37" t="n"/>
      <c r="J896" s="37" t="n"/>
      <c r="K896" s="35">
        <f>IFERROR(I896+J896,0)</f>
        <v/>
      </c>
      <c r="U896" s="59" t="n"/>
      <c r="V896" s="59" t="n"/>
      <c r="W896" s="59" t="n"/>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IF(C897="","",ROW()-2)</f>
        <v/>
      </c>
      <c r="B897" s="825" t="n"/>
      <c r="C897" s="826" t="n"/>
      <c r="D897" s="827" t="n"/>
      <c r="E897" s="828" t="n"/>
      <c r="F897" s="829" t="n"/>
      <c r="G897" s="829" t="n"/>
      <c r="H897" s="830" t="n"/>
      <c r="I897" s="37" t="n"/>
      <c r="J897" s="37" t="n"/>
      <c r="K897" s="35">
        <f>IFERROR(I897+J897,0)</f>
        <v/>
      </c>
      <c r="U897" s="59" t="n"/>
      <c r="V897" s="59" t="n"/>
      <c r="W897" s="59" t="n"/>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IF(C898="","",ROW()-2)</f>
        <v/>
      </c>
      <c r="B898" s="825" t="n"/>
      <c r="C898" s="826" t="n"/>
      <c r="D898" s="827" t="n"/>
      <c r="E898" s="828" t="n"/>
      <c r="F898" s="829" t="n"/>
      <c r="G898" s="829" t="n"/>
      <c r="H898" s="830" t="n"/>
      <c r="I898" s="37" t="n"/>
      <c r="J898" s="37" t="n"/>
      <c r="K898" s="35">
        <f>IFERROR(I898+J898,0)</f>
        <v/>
      </c>
      <c r="U898" s="59" t="n"/>
      <c r="V898" s="59" t="n"/>
      <c r="W898" s="59" t="n"/>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IF(C899="","",ROW()-2)</f>
        <v/>
      </c>
      <c r="B899" s="825" t="n"/>
      <c r="C899" s="826" t="n"/>
      <c r="D899" s="827" t="n"/>
      <c r="E899" s="828" t="n"/>
      <c r="F899" s="829" t="n"/>
      <c r="G899" s="829" t="n"/>
      <c r="H899" s="830" t="n"/>
      <c r="I899" s="37" t="n"/>
      <c r="J899" s="37" t="n"/>
      <c r="K899" s="35">
        <f>IFERROR(I899+J899,0)</f>
        <v/>
      </c>
      <c r="U899" s="59" t="n"/>
      <c r="V899" s="59" t="n"/>
      <c r="W899" s="59" t="n"/>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IF(C900="","",ROW()-2)</f>
        <v/>
      </c>
      <c r="B900" s="825" t="n"/>
      <c r="C900" s="826" t="n"/>
      <c r="D900" s="827" t="n"/>
      <c r="E900" s="828" t="n"/>
      <c r="F900" s="829" t="n"/>
      <c r="G900" s="829" t="n"/>
      <c r="H900" s="830" t="n"/>
      <c r="I900" s="37" t="n"/>
      <c r="J900" s="37" t="n"/>
      <c r="K900" s="35">
        <f>IFERROR(I900+J900,0)</f>
        <v/>
      </c>
      <c r="U900" s="59" t="n"/>
      <c r="V900" s="59" t="n"/>
      <c r="W900" s="59" t="n"/>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IF(C901="","",ROW()-2)</f>
        <v/>
      </c>
      <c r="B901" s="825" t="n"/>
      <c r="C901" s="826" t="n"/>
      <c r="D901" s="827" t="n"/>
      <c r="E901" s="828" t="n"/>
      <c r="F901" s="829" t="n"/>
      <c r="G901" s="829" t="n"/>
      <c r="H901" s="830" t="n"/>
      <c r="I901" s="37" t="n"/>
      <c r="J901" s="37" t="n"/>
      <c r="K901" s="35">
        <f>IFERROR(I901+J901,0)</f>
        <v/>
      </c>
      <c r="U901" s="59" t="n"/>
      <c r="V901" s="59" t="n"/>
      <c r="W901" s="59" t="n"/>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IF(C902="","",ROW()-2)</f>
        <v/>
      </c>
      <c r="B902" s="825" t="n"/>
      <c r="C902" s="826" t="n"/>
      <c r="D902" s="827" t="n"/>
      <c r="E902" s="828" t="n"/>
      <c r="F902" s="829" t="n"/>
      <c r="G902" s="829" t="n"/>
      <c r="H902" s="830" t="n"/>
      <c r="I902" s="37" t="n"/>
      <c r="J902" s="37" t="n"/>
      <c r="K902" s="35">
        <f>IFERROR(I902+J902,0)</f>
        <v/>
      </c>
      <c r="U902" s="59" t="n"/>
      <c r="V902" s="59" t="n"/>
      <c r="W902" s="59" t="n"/>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IF(C903="","",ROW()-2)</f>
        <v/>
      </c>
      <c r="B903" s="825" t="n"/>
      <c r="C903" s="826" t="n"/>
      <c r="D903" s="827" t="n"/>
      <c r="E903" s="828" t="n"/>
      <c r="F903" s="829" t="n"/>
      <c r="G903" s="829" t="n"/>
      <c r="H903" s="830" t="n"/>
      <c r="I903" s="37" t="n"/>
      <c r="J903" s="37" t="n"/>
      <c r="K903" s="35">
        <f>IFERROR(I903+J903,0)</f>
        <v/>
      </c>
      <c r="U903" s="59" t="n"/>
      <c r="V903" s="59" t="n"/>
      <c r="W903" s="59" t="n"/>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IF(C904="","",ROW()-2)</f>
        <v/>
      </c>
      <c r="B904" s="825" t="n"/>
      <c r="C904" s="826" t="n"/>
      <c r="D904" s="827" t="n"/>
      <c r="E904" s="828" t="n"/>
      <c r="F904" s="829" t="n"/>
      <c r="G904" s="829" t="n"/>
      <c r="H904" s="830" t="n"/>
      <c r="I904" s="37" t="n"/>
      <c r="J904" s="37" t="n"/>
      <c r="K904" s="35">
        <f>IFERROR(I904+J904,0)</f>
        <v/>
      </c>
      <c r="U904" s="59" t="n"/>
      <c r="V904" s="59" t="n"/>
      <c r="W904" s="59" t="n"/>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IF(C905="","",ROW()-2)</f>
        <v/>
      </c>
      <c r="B905" s="825" t="n"/>
      <c r="C905" s="826" t="n"/>
      <c r="D905" s="827" t="n"/>
      <c r="E905" s="828" t="n"/>
      <c r="F905" s="829" t="n"/>
      <c r="G905" s="829" t="n"/>
      <c r="H905" s="830" t="n"/>
      <c r="I905" s="37" t="n"/>
      <c r="J905" s="37" t="n"/>
      <c r="K905" s="35">
        <f>IFERROR(I905+J905,0)</f>
        <v/>
      </c>
      <c r="U905" s="59" t="n"/>
      <c r="V905" s="59" t="n"/>
      <c r="W905" s="59" t="n"/>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IF(C906="","",ROW()-2)</f>
        <v/>
      </c>
      <c r="B906" s="825" t="n"/>
      <c r="C906" s="826" t="n"/>
      <c r="D906" s="827" t="n"/>
      <c r="E906" s="828" t="n"/>
      <c r="F906" s="829" t="n"/>
      <c r="G906" s="829" t="n"/>
      <c r="H906" s="830" t="n"/>
      <c r="I906" s="37" t="n"/>
      <c r="J906" s="37" t="n"/>
      <c r="K906" s="35">
        <f>IFERROR(I906+J906,0)</f>
        <v/>
      </c>
      <c r="U906" s="59" t="n"/>
      <c r="V906" s="59" t="n"/>
      <c r="W906" s="59" t="n"/>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IF(C907="","",ROW()-2)</f>
        <v/>
      </c>
      <c r="B907" s="825" t="n"/>
      <c r="C907" s="826" t="n"/>
      <c r="D907" s="827" t="n"/>
      <c r="E907" s="828" t="n"/>
      <c r="F907" s="829" t="n"/>
      <c r="G907" s="829" t="n"/>
      <c r="H907" s="830" t="n"/>
      <c r="I907" s="37" t="n"/>
      <c r="J907" s="37" t="n"/>
      <c r="K907" s="35">
        <f>IFERROR(I907+J907,0)</f>
        <v/>
      </c>
      <c r="U907" s="59" t="n"/>
      <c r="V907" s="59" t="n"/>
      <c r="W907" s="59" t="n"/>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IF(C908="","",ROW()-2)</f>
        <v/>
      </c>
      <c r="B908" s="825" t="n"/>
      <c r="C908" s="826" t="n"/>
      <c r="D908" s="827" t="n"/>
      <c r="E908" s="828" t="n"/>
      <c r="F908" s="829" t="n"/>
      <c r="G908" s="829" t="n"/>
      <c r="H908" s="830" t="n"/>
      <c r="I908" s="37" t="n"/>
      <c r="J908" s="37" t="n"/>
      <c r="K908" s="35">
        <f>IFERROR(I908+J908,0)</f>
        <v/>
      </c>
      <c r="U908" s="59" t="n"/>
      <c r="V908" s="59" t="n"/>
      <c r="W908" s="59" t="n"/>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IF(C909="","",ROW()-2)</f>
        <v/>
      </c>
      <c r="B909" s="825" t="n"/>
      <c r="C909" s="826" t="n"/>
      <c r="D909" s="827" t="n"/>
      <c r="E909" s="828" t="n"/>
      <c r="F909" s="829" t="n"/>
      <c r="G909" s="829" t="n"/>
      <c r="H909" s="830" t="n"/>
      <c r="I909" s="37" t="n"/>
      <c r="J909" s="37" t="n"/>
      <c r="K909" s="35">
        <f>IFERROR(I909+J909,0)</f>
        <v/>
      </c>
      <c r="U909" s="59" t="n"/>
      <c r="V909" s="59" t="n"/>
      <c r="W909" s="59" t="n"/>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IF(C910="","",ROW()-2)</f>
        <v/>
      </c>
      <c r="B910" s="825" t="n"/>
      <c r="C910" s="826" t="n"/>
      <c r="D910" s="827" t="n"/>
      <c r="E910" s="828" t="n"/>
      <c r="F910" s="829" t="n"/>
      <c r="G910" s="829" t="n"/>
      <c r="H910" s="830" t="n"/>
      <c r="I910" s="37" t="n"/>
      <c r="J910" s="37" t="n"/>
      <c r="K910" s="35">
        <f>IFERROR(I910+J910,0)</f>
        <v/>
      </c>
      <c r="U910" s="59" t="n"/>
      <c r="V910" s="59" t="n"/>
      <c r="W910" s="59" t="n"/>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IF(C911="","",ROW()-2)</f>
        <v/>
      </c>
      <c r="B911" s="825" t="n"/>
      <c r="C911" s="826" t="n"/>
      <c r="D911" s="827" t="n"/>
      <c r="E911" s="828" t="n"/>
      <c r="F911" s="829" t="n"/>
      <c r="G911" s="829" t="n"/>
      <c r="H911" s="830" t="n"/>
      <c r="I911" s="37" t="n"/>
      <c r="J911" s="37" t="n"/>
      <c r="K911" s="35">
        <f>IFERROR(I911+J911,0)</f>
        <v/>
      </c>
      <c r="U911" s="59" t="n"/>
      <c r="V911" s="59" t="n"/>
      <c r="W911" s="59" t="n"/>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IF(C912="","",ROW()-2)</f>
        <v/>
      </c>
      <c r="B912" s="825" t="n"/>
      <c r="C912" s="826" t="n"/>
      <c r="D912" s="827" t="n"/>
      <c r="E912" s="828" t="n"/>
      <c r="F912" s="829" t="n"/>
      <c r="G912" s="829" t="n"/>
      <c r="H912" s="830" t="n"/>
      <c r="I912" s="37" t="n"/>
      <c r="J912" s="37" t="n"/>
      <c r="K912" s="35">
        <f>IFERROR(I912+J912,0)</f>
        <v/>
      </c>
      <c r="U912" s="59" t="n"/>
      <c r="V912" s="59" t="n"/>
      <c r="W912" s="59" t="n"/>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IF(C913="","",ROW()-2)</f>
        <v/>
      </c>
      <c r="B913" s="825" t="n"/>
      <c r="C913" s="826" t="n"/>
      <c r="D913" s="827" t="n"/>
      <c r="E913" s="828" t="n"/>
      <c r="F913" s="829" t="n"/>
      <c r="G913" s="829" t="n"/>
      <c r="H913" s="830" t="n"/>
      <c r="I913" s="37" t="n"/>
      <c r="J913" s="37" t="n"/>
      <c r="K913" s="35">
        <f>IFERROR(I913+J913,0)</f>
        <v/>
      </c>
      <c r="U913" s="59" t="n"/>
      <c r="V913" s="59" t="n"/>
      <c r="W913" s="59" t="n"/>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IF(C914="","",ROW()-2)</f>
        <v/>
      </c>
      <c r="B914" s="825" t="n"/>
      <c r="C914" s="826" t="n"/>
      <c r="D914" s="827" t="n"/>
      <c r="E914" s="828" t="n"/>
      <c r="F914" s="829" t="n"/>
      <c r="G914" s="829" t="n"/>
      <c r="H914" s="830" t="n"/>
      <c r="I914" s="37" t="n"/>
      <c r="J914" s="37" t="n"/>
      <c r="K914" s="35">
        <f>IFERROR(I914+J914,0)</f>
        <v/>
      </c>
      <c r="U914" s="59" t="n"/>
      <c r="V914" s="59" t="n"/>
      <c r="W914" s="59" t="n"/>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IF(C915="","",ROW()-2)</f>
        <v/>
      </c>
      <c r="B915" s="825" t="n"/>
      <c r="C915" s="826" t="n"/>
      <c r="D915" s="827" t="n"/>
      <c r="E915" s="828" t="n"/>
      <c r="F915" s="829" t="n"/>
      <c r="G915" s="829" t="n"/>
      <c r="H915" s="830" t="n"/>
      <c r="I915" s="37" t="n"/>
      <c r="J915" s="37" t="n"/>
      <c r="K915" s="35">
        <f>IFERROR(I915+J915,0)</f>
        <v/>
      </c>
      <c r="U915" s="59" t="n"/>
      <c r="V915" s="59" t="n"/>
      <c r="W915" s="59" t="n"/>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IF(C916="","",ROW()-2)</f>
        <v/>
      </c>
      <c r="B916" s="825" t="n"/>
      <c r="C916" s="826" t="n"/>
      <c r="D916" s="827" t="n"/>
      <c r="E916" s="828" t="n"/>
      <c r="F916" s="829" t="n"/>
      <c r="G916" s="829" t="n"/>
      <c r="H916" s="830" t="n"/>
      <c r="I916" s="37" t="n"/>
      <c r="J916" s="37" t="n"/>
      <c r="K916" s="35">
        <f>IFERROR(I916+J916,0)</f>
        <v/>
      </c>
      <c r="U916" s="59" t="n"/>
      <c r="V916" s="59" t="n"/>
      <c r="W916" s="59" t="n"/>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IF(C917="","",ROW()-2)</f>
        <v/>
      </c>
      <c r="B917" s="825" t="n"/>
      <c r="C917" s="826" t="n"/>
      <c r="D917" s="827" t="n"/>
      <c r="E917" s="828" t="n"/>
      <c r="F917" s="829" t="n"/>
      <c r="G917" s="829" t="n"/>
      <c r="H917" s="830" t="n"/>
      <c r="I917" s="37" t="n"/>
      <c r="J917" s="37" t="n"/>
      <c r="K917" s="35">
        <f>IFERROR(I917+J917,0)</f>
        <v/>
      </c>
      <c r="U917" s="59" t="n"/>
      <c r="V917" s="59" t="n"/>
      <c r="W917" s="59" t="n"/>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IF(C918="","",ROW()-2)</f>
        <v/>
      </c>
      <c r="B918" s="825" t="n"/>
      <c r="C918" s="826" t="n"/>
      <c r="D918" s="827" t="n"/>
      <c r="E918" s="828" t="n"/>
      <c r="F918" s="829" t="n"/>
      <c r="G918" s="829" t="n"/>
      <c r="H918" s="830" t="n"/>
      <c r="I918" s="37" t="n"/>
      <c r="J918" s="37" t="n"/>
      <c r="K918" s="35">
        <f>IFERROR(I918+J918,0)</f>
        <v/>
      </c>
      <c r="U918" s="59" t="n"/>
      <c r="V918" s="59" t="n"/>
      <c r="W918" s="59" t="n"/>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IF(C919="","",ROW()-2)</f>
        <v/>
      </c>
      <c r="B919" s="825" t="n"/>
      <c r="C919" s="826" t="n"/>
      <c r="D919" s="827" t="n"/>
      <c r="E919" s="828" t="n"/>
      <c r="F919" s="829" t="n"/>
      <c r="G919" s="829" t="n"/>
      <c r="H919" s="830" t="n"/>
      <c r="I919" s="37" t="n"/>
      <c r="J919" s="37" t="n"/>
      <c r="K919" s="35">
        <f>IFERROR(I919+J919,0)</f>
        <v/>
      </c>
      <c r="U919" s="59" t="n"/>
      <c r="V919" s="59" t="n"/>
      <c r="W919" s="59" t="n"/>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IF(C920="","",ROW()-2)</f>
        <v/>
      </c>
      <c r="B920" s="825" t="n"/>
      <c r="C920" s="826" t="n"/>
      <c r="D920" s="827" t="n"/>
      <c r="E920" s="828" t="n"/>
      <c r="F920" s="829" t="n"/>
      <c r="G920" s="829" t="n"/>
      <c r="H920" s="830" t="n"/>
      <c r="I920" s="37" t="n"/>
      <c r="J920" s="37" t="n"/>
      <c r="K920" s="35">
        <f>IFERROR(I920+J920,0)</f>
        <v/>
      </c>
      <c r="U920" s="59" t="n"/>
      <c r="V920" s="59" t="n"/>
      <c r="W920" s="59" t="n"/>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IF(C921="","",ROW()-2)</f>
        <v/>
      </c>
      <c r="B921" s="825" t="n"/>
      <c r="C921" s="826" t="n"/>
      <c r="D921" s="827" t="n"/>
      <c r="E921" s="828" t="n"/>
      <c r="F921" s="829" t="n"/>
      <c r="G921" s="829" t="n"/>
      <c r="H921" s="830" t="n"/>
      <c r="I921" s="37" t="n"/>
      <c r="J921" s="37" t="n"/>
      <c r="K921" s="35">
        <f>IFERROR(I921+J921,0)</f>
        <v/>
      </c>
      <c r="U921" s="59" t="n"/>
      <c r="V921" s="59" t="n"/>
      <c r="W921" s="59" t="n"/>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IF(C922="","",ROW()-2)</f>
        <v/>
      </c>
      <c r="B922" s="825" t="n"/>
      <c r="C922" s="826" t="n"/>
      <c r="D922" s="827" t="n"/>
      <c r="E922" s="828" t="n"/>
      <c r="F922" s="829" t="n"/>
      <c r="G922" s="829" t="n"/>
      <c r="H922" s="830" t="n"/>
      <c r="I922" s="37" t="n"/>
      <c r="J922" s="37" t="n"/>
      <c r="K922" s="35">
        <f>IFERROR(I922+J922,0)</f>
        <v/>
      </c>
      <c r="U922" s="59" t="n"/>
      <c r="V922" s="59" t="n"/>
      <c r="W922" s="59" t="n"/>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IF(C923="","",ROW()-2)</f>
        <v/>
      </c>
      <c r="B923" s="825" t="n"/>
      <c r="C923" s="826" t="n"/>
      <c r="D923" s="827" t="n"/>
      <c r="E923" s="828" t="n"/>
      <c r="F923" s="829" t="n"/>
      <c r="G923" s="829" t="n"/>
      <c r="H923" s="830" t="n"/>
      <c r="I923" s="37" t="n"/>
      <c r="J923" s="37" t="n"/>
      <c r="K923" s="35">
        <f>IFERROR(I923+J923,0)</f>
        <v/>
      </c>
      <c r="U923" s="59" t="n"/>
      <c r="V923" s="59" t="n"/>
      <c r="W923" s="59" t="n"/>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IF(C924="","",ROW()-2)</f>
        <v/>
      </c>
      <c r="B924" s="825" t="n"/>
      <c r="C924" s="826" t="n"/>
      <c r="D924" s="827" t="n"/>
      <c r="E924" s="828" t="n"/>
      <c r="F924" s="829" t="n"/>
      <c r="G924" s="829" t="n"/>
      <c r="H924" s="830" t="n"/>
      <c r="I924" s="37" t="n"/>
      <c r="J924" s="37" t="n"/>
      <c r="K924" s="35">
        <f>IFERROR(I924+J924,0)</f>
        <v/>
      </c>
      <c r="U924" s="59" t="n"/>
      <c r="V924" s="59" t="n"/>
      <c r="W924" s="59" t="n"/>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IF(C925="","",ROW()-2)</f>
        <v/>
      </c>
      <c r="B925" s="825" t="n"/>
      <c r="C925" s="826" t="n"/>
      <c r="D925" s="827" t="n"/>
      <c r="E925" s="828" t="n"/>
      <c r="F925" s="829" t="n"/>
      <c r="G925" s="829" t="n"/>
      <c r="H925" s="830" t="n"/>
      <c r="I925" s="37" t="n"/>
      <c r="J925" s="37" t="n"/>
      <c r="K925" s="35">
        <f>IFERROR(I925+J925,0)</f>
        <v/>
      </c>
      <c r="U925" s="59" t="n"/>
      <c r="V925" s="59" t="n"/>
      <c r="W925" s="59" t="n"/>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IF(C926="","",ROW()-2)</f>
        <v/>
      </c>
      <c r="B926" s="825" t="n"/>
      <c r="C926" s="826" t="n"/>
      <c r="D926" s="827" t="n"/>
      <c r="E926" s="828" t="n"/>
      <c r="F926" s="829" t="n"/>
      <c r="G926" s="829" t="n"/>
      <c r="H926" s="830" t="n"/>
      <c r="I926" s="37" t="n"/>
      <c r="J926" s="37" t="n"/>
      <c r="K926" s="35">
        <f>IFERROR(I926+J926,0)</f>
        <v/>
      </c>
      <c r="U926" s="59" t="n"/>
      <c r="V926" s="59" t="n"/>
      <c r="W926" s="59" t="n"/>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IF(C927="","",ROW()-2)</f>
        <v/>
      </c>
      <c r="B927" s="825" t="n"/>
      <c r="C927" s="826" t="n"/>
      <c r="D927" s="827" t="n"/>
      <c r="E927" s="828" t="n"/>
      <c r="F927" s="829" t="n"/>
      <c r="G927" s="829" t="n"/>
      <c r="H927" s="830" t="n"/>
      <c r="I927" s="37" t="n"/>
      <c r="J927" s="37" t="n"/>
      <c r="K927" s="35">
        <f>IFERROR(I927+J927,0)</f>
        <v/>
      </c>
      <c r="U927" s="59" t="n"/>
      <c r="V927" s="59" t="n"/>
      <c r="W927" s="59" t="n"/>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IF(C928="","",ROW()-2)</f>
        <v/>
      </c>
      <c r="B928" s="825" t="n"/>
      <c r="C928" s="826" t="n"/>
      <c r="D928" s="827" t="n"/>
      <c r="E928" s="828" t="n"/>
      <c r="F928" s="829" t="n"/>
      <c r="G928" s="829" t="n"/>
      <c r="H928" s="830" t="n"/>
      <c r="I928" s="37" t="n"/>
      <c r="J928" s="37" t="n"/>
      <c r="K928" s="35">
        <f>IFERROR(I928+J928,0)</f>
        <v/>
      </c>
      <c r="U928" s="59" t="n"/>
      <c r="V928" s="59" t="n"/>
      <c r="W928" s="59" t="n"/>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IF(C929="","",ROW()-2)</f>
        <v/>
      </c>
      <c r="B929" s="825" t="n"/>
      <c r="C929" s="826" t="n"/>
      <c r="D929" s="827" t="n"/>
      <c r="E929" s="828" t="n"/>
      <c r="F929" s="829" t="n"/>
      <c r="G929" s="829" t="n"/>
      <c r="H929" s="830" t="n"/>
      <c r="I929" s="37" t="n"/>
      <c r="J929" s="37" t="n"/>
      <c r="K929" s="35">
        <f>IFERROR(I929+J929,0)</f>
        <v/>
      </c>
      <c r="U929" s="59" t="n"/>
      <c r="V929" s="59" t="n"/>
      <c r="W929" s="59" t="n"/>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IF(C930="","",ROW()-2)</f>
        <v/>
      </c>
      <c r="B930" s="825" t="n"/>
      <c r="C930" s="826" t="n"/>
      <c r="D930" s="827" t="n"/>
      <c r="E930" s="828" t="n"/>
      <c r="F930" s="829" t="n"/>
      <c r="G930" s="829" t="n"/>
      <c r="H930" s="830" t="n"/>
      <c r="I930" s="37" t="n"/>
      <c r="J930" s="37" t="n"/>
      <c r="K930" s="35">
        <f>IFERROR(I930+J930,0)</f>
        <v/>
      </c>
      <c r="U930" s="59" t="n"/>
      <c r="V930" s="59" t="n"/>
      <c r="W930" s="59" t="n"/>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IF(C931="","",ROW()-2)</f>
        <v/>
      </c>
      <c r="B931" s="825" t="n"/>
      <c r="C931" s="826" t="n"/>
      <c r="D931" s="827" t="n"/>
      <c r="E931" s="828" t="n"/>
      <c r="F931" s="829" t="n"/>
      <c r="G931" s="829" t="n"/>
      <c r="H931" s="830" t="n"/>
      <c r="I931" s="37" t="n"/>
      <c r="J931" s="37" t="n"/>
      <c r="K931" s="35">
        <f>IFERROR(I931+J931,0)</f>
        <v/>
      </c>
      <c r="U931" s="59" t="n"/>
      <c r="V931" s="59" t="n"/>
      <c r="W931" s="59" t="n"/>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IF(C932="","",ROW()-2)</f>
        <v/>
      </c>
      <c r="B932" s="825" t="n"/>
      <c r="C932" s="826" t="n"/>
      <c r="D932" s="827" t="n"/>
      <c r="E932" s="828" t="n"/>
      <c r="F932" s="829" t="n"/>
      <c r="G932" s="829" t="n"/>
      <c r="H932" s="830" t="n"/>
      <c r="I932" s="37" t="n"/>
      <c r="J932" s="37" t="n"/>
      <c r="K932" s="35">
        <f>IFERROR(I932+J932,0)</f>
        <v/>
      </c>
      <c r="U932" s="59" t="n"/>
      <c r="V932" s="59" t="n"/>
      <c r="W932" s="59" t="n"/>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IF(C933="","",ROW()-2)</f>
        <v/>
      </c>
      <c r="B933" s="825" t="n"/>
      <c r="C933" s="826" t="n"/>
      <c r="D933" s="827" t="n"/>
      <c r="E933" s="828" t="n"/>
      <c r="F933" s="829" t="n"/>
      <c r="G933" s="829" t="n"/>
      <c r="H933" s="830" t="n"/>
      <c r="I933" s="37" t="n"/>
      <c r="J933" s="37" t="n"/>
      <c r="K933" s="35">
        <f>IFERROR(I933+J933,0)</f>
        <v/>
      </c>
      <c r="U933" s="59" t="n"/>
      <c r="V933" s="59" t="n"/>
      <c r="W933" s="59" t="n"/>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IF(C934="","",ROW()-2)</f>
        <v/>
      </c>
      <c r="B934" s="825" t="n"/>
      <c r="C934" s="826" t="n"/>
      <c r="D934" s="827" t="n"/>
      <c r="E934" s="828" t="n"/>
      <c r="F934" s="829" t="n"/>
      <c r="G934" s="829" t="n"/>
      <c r="H934" s="830" t="n"/>
      <c r="I934" s="37" t="n"/>
      <c r="J934" s="37" t="n"/>
      <c r="K934" s="35">
        <f>IFERROR(I934+J934,0)</f>
        <v/>
      </c>
      <c r="U934" s="59" t="n"/>
      <c r="V934" s="59" t="n"/>
      <c r="W934" s="59" t="n"/>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IF(C935="","",ROW()-2)</f>
        <v/>
      </c>
      <c r="B935" s="825" t="n"/>
      <c r="C935" s="826" t="n"/>
      <c r="D935" s="827" t="n"/>
      <c r="E935" s="828" t="n"/>
      <c r="F935" s="829" t="n"/>
      <c r="G935" s="829" t="n"/>
      <c r="H935" s="830" t="n"/>
      <c r="I935" s="37" t="n"/>
      <c r="J935" s="37" t="n"/>
      <c r="K935" s="35">
        <f>IFERROR(I935+J935,0)</f>
        <v/>
      </c>
      <c r="U935" s="59" t="n"/>
      <c r="V935" s="59" t="n"/>
      <c r="W935" s="59" t="n"/>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IF(C936="","",ROW()-2)</f>
        <v/>
      </c>
      <c r="B936" s="825" t="n"/>
      <c r="C936" s="826" t="n"/>
      <c r="D936" s="827" t="n"/>
      <c r="E936" s="828" t="n"/>
      <c r="F936" s="829" t="n"/>
      <c r="G936" s="829" t="n"/>
      <c r="H936" s="830" t="n"/>
      <c r="I936" s="37" t="n"/>
      <c r="J936" s="37" t="n"/>
      <c r="K936" s="35">
        <f>IFERROR(I936+J936,0)</f>
        <v/>
      </c>
      <c r="U936" s="59" t="n"/>
      <c r="V936" s="59" t="n"/>
      <c r="W936" s="59" t="n"/>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IF(C937="","",ROW()-2)</f>
        <v/>
      </c>
      <c r="B937" s="825" t="n"/>
      <c r="C937" s="826" t="n"/>
      <c r="D937" s="827" t="n"/>
      <c r="E937" s="828" t="n"/>
      <c r="F937" s="829" t="n"/>
      <c r="G937" s="829" t="n"/>
      <c r="H937" s="830" t="n"/>
      <c r="I937" s="37" t="n"/>
      <c r="J937" s="37" t="n"/>
      <c r="K937" s="35">
        <f>IFERROR(I937+J937,0)</f>
        <v/>
      </c>
      <c r="U937" s="59" t="n"/>
      <c r="V937" s="59" t="n"/>
      <c r="W937" s="59" t="n"/>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IF(C938="","",ROW()-2)</f>
        <v/>
      </c>
      <c r="B938" s="825" t="n"/>
      <c r="C938" s="826" t="n"/>
      <c r="D938" s="827" t="n"/>
      <c r="E938" s="828" t="n"/>
      <c r="F938" s="829" t="n"/>
      <c r="G938" s="829" t="n"/>
      <c r="H938" s="830" t="n"/>
      <c r="I938" s="37" t="n"/>
      <c r="J938" s="37" t="n"/>
      <c r="K938" s="35">
        <f>IFERROR(I938+J938,0)</f>
        <v/>
      </c>
      <c r="U938" s="59" t="n"/>
      <c r="V938" s="59" t="n"/>
      <c r="W938" s="59" t="n"/>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IF(C939="","",ROW()-2)</f>
        <v/>
      </c>
      <c r="B939" s="825" t="n"/>
      <c r="C939" s="826" t="n"/>
      <c r="D939" s="827" t="n"/>
      <c r="E939" s="828" t="n"/>
      <c r="F939" s="829" t="n"/>
      <c r="G939" s="829" t="n"/>
      <c r="H939" s="830" t="n"/>
      <c r="I939" s="37" t="n"/>
      <c r="J939" s="37" t="n"/>
      <c r="K939" s="35">
        <f>IFERROR(I939+J939,0)</f>
        <v/>
      </c>
      <c r="U939" s="59" t="n"/>
      <c r="V939" s="59" t="n"/>
      <c r="W939" s="59" t="n"/>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IF(C940="","",ROW()-2)</f>
        <v/>
      </c>
      <c r="B940" s="825" t="n"/>
      <c r="C940" s="826" t="n"/>
      <c r="D940" s="827" t="n"/>
      <c r="E940" s="828" t="n"/>
      <c r="F940" s="829" t="n"/>
      <c r="G940" s="829" t="n"/>
      <c r="H940" s="830" t="n"/>
      <c r="I940" s="37" t="n"/>
      <c r="J940" s="37" t="n"/>
      <c r="K940" s="35">
        <f>IFERROR(I940+J940,0)</f>
        <v/>
      </c>
      <c r="U940" s="59" t="n"/>
      <c r="V940" s="59" t="n"/>
      <c r="W940" s="59" t="n"/>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IF(C941="","",ROW()-2)</f>
        <v/>
      </c>
      <c r="B941" s="825" t="n"/>
      <c r="C941" s="826" t="n"/>
      <c r="D941" s="827" t="n"/>
      <c r="E941" s="828" t="n"/>
      <c r="F941" s="829" t="n"/>
      <c r="G941" s="829" t="n"/>
      <c r="H941" s="830" t="n"/>
      <c r="I941" s="37" t="n"/>
      <c r="J941" s="37" t="n"/>
      <c r="K941" s="35">
        <f>IFERROR(I941+J941,0)</f>
        <v/>
      </c>
      <c r="U941" s="59" t="n"/>
      <c r="V941" s="59" t="n"/>
      <c r="W941" s="59" t="n"/>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IF(C942="","",ROW()-2)</f>
        <v/>
      </c>
      <c r="B942" s="825" t="n"/>
      <c r="C942" s="826" t="n"/>
      <c r="D942" s="827" t="n"/>
      <c r="E942" s="828" t="n"/>
      <c r="F942" s="829" t="n"/>
      <c r="G942" s="829" t="n"/>
      <c r="H942" s="830" t="n"/>
      <c r="I942" s="37" t="n"/>
      <c r="J942" s="37" t="n"/>
      <c r="K942" s="35">
        <f>IFERROR(I942+J942,0)</f>
        <v/>
      </c>
      <c r="U942" s="59" t="n"/>
      <c r="V942" s="59" t="n"/>
      <c r="W942" s="59" t="n"/>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IF(C943="","",ROW()-2)</f>
        <v/>
      </c>
      <c r="B943" s="825" t="n"/>
      <c r="C943" s="826" t="n"/>
      <c r="D943" s="827" t="n"/>
      <c r="E943" s="828" t="n"/>
      <c r="F943" s="829" t="n"/>
      <c r="G943" s="829" t="n"/>
      <c r="H943" s="830" t="n"/>
      <c r="I943" s="37" t="n"/>
      <c r="J943" s="37" t="n"/>
      <c r="K943" s="35">
        <f>IFERROR(I943+J943,0)</f>
        <v/>
      </c>
      <c r="U943" s="59" t="n"/>
      <c r="V943" s="59" t="n"/>
      <c r="W943" s="59" t="n"/>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IF(C944="","",ROW()-2)</f>
        <v/>
      </c>
      <c r="B944" s="825" t="n"/>
      <c r="C944" s="826" t="n"/>
      <c r="D944" s="827" t="n"/>
      <c r="E944" s="828" t="n"/>
      <c r="F944" s="829" t="n"/>
      <c r="G944" s="829" t="n"/>
      <c r="H944" s="830" t="n"/>
      <c r="I944" s="37" t="n"/>
      <c r="J944" s="37" t="n"/>
      <c r="K944" s="35">
        <f>IFERROR(I944+J944,0)</f>
        <v/>
      </c>
      <c r="U944" s="59" t="n"/>
      <c r="V944" s="59" t="n"/>
      <c r="W944" s="59" t="n"/>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IF(C945="","",ROW()-2)</f>
        <v/>
      </c>
      <c r="B945" s="825" t="n"/>
      <c r="C945" s="826" t="n"/>
      <c r="D945" s="827" t="n"/>
      <c r="E945" s="828" t="n"/>
      <c r="F945" s="829" t="n"/>
      <c r="G945" s="829" t="n"/>
      <c r="H945" s="830" t="n"/>
      <c r="I945" s="37" t="n"/>
      <c r="J945" s="37" t="n"/>
      <c r="K945" s="35">
        <f>IFERROR(I945+J945,0)</f>
        <v/>
      </c>
      <c r="U945" s="59" t="n"/>
      <c r="V945" s="59" t="n"/>
      <c r="W945" s="59" t="n"/>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IF(C946="","",ROW()-2)</f>
        <v/>
      </c>
      <c r="B946" s="825" t="n"/>
      <c r="C946" s="826" t="n"/>
      <c r="D946" s="827" t="n"/>
      <c r="E946" s="828" t="n"/>
      <c r="F946" s="829" t="n"/>
      <c r="G946" s="829" t="n"/>
      <c r="H946" s="830" t="n"/>
      <c r="I946" s="37" t="n"/>
      <c r="J946" s="37" t="n"/>
      <c r="K946" s="35">
        <f>IFERROR(I946+J946,0)</f>
        <v/>
      </c>
      <c r="U946" s="59" t="n"/>
      <c r="V946" s="59" t="n"/>
      <c r="W946" s="59" t="n"/>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IF(C947="","",ROW()-2)</f>
        <v/>
      </c>
      <c r="B947" s="825" t="n"/>
      <c r="C947" s="826" t="n"/>
      <c r="D947" s="827" t="n"/>
      <c r="E947" s="828" t="n"/>
      <c r="F947" s="829" t="n"/>
      <c r="G947" s="829" t="n"/>
      <c r="H947" s="830" t="n"/>
      <c r="I947" s="37" t="n"/>
      <c r="J947" s="37" t="n"/>
      <c r="K947" s="35">
        <f>IFERROR(I947+J947,0)</f>
        <v/>
      </c>
      <c r="U947" s="59" t="n"/>
      <c r="V947" s="59" t="n"/>
      <c r="W947" s="59" t="n"/>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IF(C948="","",ROW()-2)</f>
        <v/>
      </c>
      <c r="B948" s="825" t="n"/>
      <c r="C948" s="826" t="n"/>
      <c r="D948" s="827" t="n"/>
      <c r="E948" s="828" t="n"/>
      <c r="F948" s="829" t="n"/>
      <c r="G948" s="829" t="n"/>
      <c r="H948" s="830" t="n"/>
      <c r="I948" s="37" t="n"/>
      <c r="J948" s="37" t="n"/>
      <c r="K948" s="35">
        <f>IFERROR(I948+J948,0)</f>
        <v/>
      </c>
      <c r="U948" s="59" t="n"/>
      <c r="V948" s="59" t="n"/>
      <c r="W948" s="59" t="n"/>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IF(C949="","",ROW()-2)</f>
        <v/>
      </c>
      <c r="B949" s="825" t="n"/>
      <c r="C949" s="826" t="n"/>
      <c r="D949" s="827" t="n"/>
      <c r="E949" s="828" t="n"/>
      <c r="F949" s="829" t="n"/>
      <c r="G949" s="829" t="n"/>
      <c r="H949" s="830" t="n"/>
      <c r="I949" s="37" t="n"/>
      <c r="J949" s="37" t="n"/>
      <c r="K949" s="35">
        <f>IFERROR(I949+J949,0)</f>
        <v/>
      </c>
      <c r="U949" s="59" t="n"/>
      <c r="V949" s="59" t="n"/>
      <c r="W949" s="59" t="n"/>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IF(C950="","",ROW()-2)</f>
        <v/>
      </c>
      <c r="B950" s="825" t="n"/>
      <c r="C950" s="826" t="n"/>
      <c r="D950" s="827" t="n"/>
      <c r="E950" s="828" t="n"/>
      <c r="F950" s="829" t="n"/>
      <c r="G950" s="829" t="n"/>
      <c r="H950" s="830" t="n"/>
      <c r="I950" s="37" t="n"/>
      <c r="J950" s="37" t="n"/>
      <c r="K950" s="35">
        <f>IFERROR(I950+J950,0)</f>
        <v/>
      </c>
      <c r="U950" s="59" t="n"/>
      <c r="V950" s="59" t="n"/>
      <c r="W950" s="59" t="n"/>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IF(C951="","",ROW()-2)</f>
        <v/>
      </c>
      <c r="B951" s="825" t="n"/>
      <c r="C951" s="826" t="n"/>
      <c r="D951" s="827" t="n"/>
      <c r="E951" s="828" t="n"/>
      <c r="F951" s="829" t="n"/>
      <c r="G951" s="829" t="n"/>
      <c r="H951" s="830" t="n"/>
      <c r="I951" s="37" t="n"/>
      <c r="J951" s="37" t="n"/>
      <c r="K951" s="35">
        <f>IFERROR(I951+J951,0)</f>
        <v/>
      </c>
      <c r="U951" s="59" t="n"/>
      <c r="V951" s="59" t="n"/>
      <c r="W951" s="59" t="n"/>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IF(C952="","",ROW()-2)</f>
        <v/>
      </c>
      <c r="B952" s="825" t="n"/>
      <c r="C952" s="826" t="n"/>
      <c r="D952" s="827" t="n"/>
      <c r="E952" s="828" t="n"/>
      <c r="F952" s="829" t="n"/>
      <c r="G952" s="829" t="n"/>
      <c r="H952" s="830" t="n"/>
      <c r="I952" s="37" t="n"/>
      <c r="J952" s="37" t="n"/>
      <c r="K952" s="35">
        <f>IFERROR(I952+J952,0)</f>
        <v/>
      </c>
      <c r="U952" s="59" t="n"/>
      <c r="V952" s="59" t="n"/>
      <c r="W952" s="59" t="n"/>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IF(C953="","",ROW()-2)</f>
        <v/>
      </c>
      <c r="B953" s="825" t="n"/>
      <c r="C953" s="826" t="n"/>
      <c r="D953" s="827" t="n"/>
      <c r="E953" s="828" t="n"/>
      <c r="F953" s="829" t="n"/>
      <c r="G953" s="829" t="n"/>
      <c r="H953" s="830" t="n"/>
      <c r="I953" s="37" t="n"/>
      <c r="J953" s="37" t="n"/>
      <c r="K953" s="35">
        <f>IFERROR(I953+J953,0)</f>
        <v/>
      </c>
      <c r="U953" s="59" t="n"/>
      <c r="V953" s="59" t="n"/>
      <c r="W953" s="59" t="n"/>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IF(C954="","",ROW()-2)</f>
        <v/>
      </c>
      <c r="B954" s="825" t="n"/>
      <c r="C954" s="826" t="n"/>
      <c r="D954" s="827" t="n"/>
      <c r="E954" s="828" t="n"/>
      <c r="F954" s="829" t="n"/>
      <c r="G954" s="829" t="n"/>
      <c r="H954" s="830" t="n"/>
      <c r="I954" s="37" t="n"/>
      <c r="J954" s="37" t="n"/>
      <c r="K954" s="35">
        <f>IFERROR(I954+J954,0)</f>
        <v/>
      </c>
      <c r="U954" s="59" t="n"/>
      <c r="V954" s="59" t="n"/>
      <c r="W954" s="59" t="n"/>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IF(C955="","",ROW()-2)</f>
        <v/>
      </c>
      <c r="B955" s="825" t="n"/>
      <c r="C955" s="826" t="n"/>
      <c r="D955" s="827" t="n"/>
      <c r="E955" s="828" t="n"/>
      <c r="F955" s="829" t="n"/>
      <c r="G955" s="829" t="n"/>
      <c r="H955" s="830" t="n"/>
      <c r="I955" s="37" t="n"/>
      <c r="J955" s="37" t="n"/>
      <c r="K955" s="35">
        <f>IFERROR(I955+J955,0)</f>
        <v/>
      </c>
      <c r="U955" s="59" t="n"/>
      <c r="V955" s="59" t="n"/>
      <c r="W955" s="59" t="n"/>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IF(C956="","",ROW()-2)</f>
        <v/>
      </c>
      <c r="B956" s="825" t="n"/>
      <c r="C956" s="826" t="n"/>
      <c r="D956" s="827" t="n"/>
      <c r="E956" s="828" t="n"/>
      <c r="F956" s="829" t="n"/>
      <c r="G956" s="829" t="n"/>
      <c r="H956" s="830" t="n"/>
      <c r="I956" s="37" t="n"/>
      <c r="J956" s="37" t="n"/>
      <c r="K956" s="35">
        <f>IFERROR(I956+J956,0)</f>
        <v/>
      </c>
      <c r="U956" s="59" t="n"/>
      <c r="V956" s="59" t="n"/>
      <c r="W956" s="59" t="n"/>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IF(C957="","",ROW()-2)</f>
        <v/>
      </c>
      <c r="B957" s="825" t="n"/>
      <c r="C957" s="826" t="n"/>
      <c r="D957" s="827" t="n"/>
      <c r="E957" s="828" t="n"/>
      <c r="F957" s="829" t="n"/>
      <c r="G957" s="829" t="n"/>
      <c r="H957" s="830" t="n"/>
      <c r="I957" s="37" t="n"/>
      <c r="J957" s="37" t="n"/>
      <c r="K957" s="35">
        <f>IFERROR(I957+J957,0)</f>
        <v/>
      </c>
      <c r="U957" s="59" t="n"/>
      <c r="V957" s="59" t="n"/>
      <c r="W957" s="59" t="n"/>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IF(C958="","",ROW()-2)</f>
        <v/>
      </c>
      <c r="B958" s="825" t="n"/>
      <c r="C958" s="826" t="n"/>
      <c r="D958" s="827" t="n"/>
      <c r="E958" s="828" t="n"/>
      <c r="F958" s="829" t="n"/>
      <c r="G958" s="829" t="n"/>
      <c r="H958" s="830" t="n"/>
      <c r="I958" s="37" t="n"/>
      <c r="J958" s="37" t="n"/>
      <c r="K958" s="35">
        <f>IFERROR(I958+J958,0)</f>
        <v/>
      </c>
      <c r="U958" s="59" t="n"/>
      <c r="V958" s="59" t="n"/>
      <c r="W958" s="59" t="n"/>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IF(C959="","",ROW()-2)</f>
        <v/>
      </c>
      <c r="B959" s="825" t="n"/>
      <c r="C959" s="826" t="n"/>
      <c r="D959" s="827" t="n"/>
      <c r="E959" s="828" t="n"/>
      <c r="F959" s="829" t="n"/>
      <c r="G959" s="829" t="n"/>
      <c r="H959" s="830" t="n"/>
      <c r="I959" s="37" t="n"/>
      <c r="J959" s="37" t="n"/>
      <c r="K959" s="35">
        <f>IFERROR(I959+J959,0)</f>
        <v/>
      </c>
      <c r="U959" s="59" t="n"/>
      <c r="V959" s="59" t="n"/>
      <c r="W959" s="59" t="n"/>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IF(C960="","",ROW()-2)</f>
        <v/>
      </c>
      <c r="B960" s="825" t="n"/>
      <c r="C960" s="826" t="n"/>
      <c r="D960" s="827" t="n"/>
      <c r="E960" s="828" t="n"/>
      <c r="F960" s="829" t="n"/>
      <c r="G960" s="829" t="n"/>
      <c r="H960" s="830" t="n"/>
      <c r="I960" s="37" t="n"/>
      <c r="J960" s="37" t="n"/>
      <c r="K960" s="35">
        <f>IFERROR(I960+J960,0)</f>
        <v/>
      </c>
      <c r="U960" s="59" t="n"/>
      <c r="V960" s="59" t="n"/>
      <c r="W960" s="59" t="n"/>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IF(C961="","",ROW()-2)</f>
        <v/>
      </c>
      <c r="B961" s="825" t="n"/>
      <c r="C961" s="826" t="n"/>
      <c r="D961" s="827" t="n"/>
      <c r="E961" s="828" t="n"/>
      <c r="F961" s="829" t="n"/>
      <c r="G961" s="829" t="n"/>
      <c r="H961" s="830" t="n"/>
      <c r="I961" s="37" t="n"/>
      <c r="J961" s="37" t="n"/>
      <c r="K961" s="35">
        <f>IFERROR(I961+J961,0)</f>
        <v/>
      </c>
      <c r="U961" s="59" t="n"/>
      <c r="V961" s="59" t="n"/>
      <c r="W961" s="59" t="n"/>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IF(C962="","",ROW()-2)</f>
        <v/>
      </c>
      <c r="B962" s="825" t="n"/>
      <c r="C962" s="826" t="n"/>
      <c r="D962" s="827" t="n"/>
      <c r="E962" s="828" t="n"/>
      <c r="F962" s="829" t="n"/>
      <c r="G962" s="829" t="n"/>
      <c r="H962" s="830" t="n"/>
      <c r="I962" s="37" t="n"/>
      <c r="J962" s="37" t="n"/>
      <c r="K962" s="35">
        <f>IFERROR(I962+J962,0)</f>
        <v/>
      </c>
    </row>
    <row r="963" ht="14.45" customHeight="1">
      <c r="A963" s="824">
        <f>IF(C963="","",ROW()-2)</f>
        <v/>
      </c>
      <c r="B963" s="825" t="n"/>
      <c r="C963" s="826" t="n"/>
      <c r="D963" s="827" t="n"/>
      <c r="E963" s="828" t="n"/>
      <c r="F963" s="829" t="n"/>
      <c r="G963" s="829" t="n"/>
      <c r="H963" s="830" t="n"/>
      <c r="I963" s="37" t="n"/>
      <c r="J963" s="37" t="n"/>
      <c r="K963" s="35">
        <f>IFERROR(I963+J963,0)</f>
        <v/>
      </c>
    </row>
    <row r="964" ht="14.45" customHeight="1">
      <c r="A964" s="824">
        <f>IF(C964="","",ROW()-2)</f>
        <v/>
      </c>
      <c r="B964" s="825" t="n"/>
      <c r="C964" s="826" t="n"/>
      <c r="D964" s="827" t="n"/>
      <c r="E964" s="828" t="n"/>
      <c r="F964" s="829" t="n"/>
      <c r="G964" s="829" t="n"/>
      <c r="H964" s="830" t="n"/>
      <c r="I964" s="37" t="n"/>
      <c r="J964" s="37" t="n"/>
      <c r="K964" s="35">
        <f>IFERROR(I964+J964,0)</f>
        <v/>
      </c>
    </row>
    <row r="965" ht="14.45" customHeight="1">
      <c r="A965" s="824">
        <f>IF(C965="","",ROW()-2)</f>
        <v/>
      </c>
      <c r="B965" s="825" t="n"/>
      <c r="C965" s="826" t="n"/>
      <c r="D965" s="827" t="n"/>
      <c r="E965" s="828" t="n"/>
      <c r="F965" s="829" t="n"/>
      <c r="G965" s="829" t="n"/>
      <c r="H965" s="830" t="n"/>
      <c r="I965" s="37" t="n"/>
      <c r="J965" s="37" t="n"/>
      <c r="K965" s="35">
        <f>IFERROR(I965+J965,0)</f>
        <v/>
      </c>
    </row>
    <row r="966" ht="14.45" customHeight="1">
      <c r="A966" s="824">
        <f>IF(C966="","",ROW()-2)</f>
        <v/>
      </c>
      <c r="B966" s="825" t="n"/>
      <c r="C966" s="826" t="n"/>
      <c r="D966" s="827" t="n"/>
      <c r="E966" s="828" t="n"/>
      <c r="F966" s="829" t="n"/>
      <c r="G966" s="829" t="n"/>
      <c r="H966" s="830" t="n"/>
      <c r="I966" s="37" t="n"/>
      <c r="J966" s="37" t="n"/>
      <c r="K966" s="35">
        <f>IFERROR(I966+J966,0)</f>
        <v/>
      </c>
    </row>
    <row r="967" ht="14.45" customHeight="1">
      <c r="A967" s="824">
        <f>IF(C967="","",ROW()-2)</f>
        <v/>
      </c>
      <c r="B967" s="825" t="n"/>
      <c r="C967" s="826" t="n"/>
      <c r="D967" s="827" t="n"/>
      <c r="E967" s="828" t="n"/>
      <c r="F967" s="829" t="n"/>
      <c r="G967" s="829" t="n"/>
      <c r="H967" s="830" t="n"/>
      <c r="I967" s="37" t="n"/>
      <c r="J967" s="37" t="n"/>
      <c r="K967" s="35">
        <f>IFERROR(I967+J967,0)</f>
        <v/>
      </c>
    </row>
    <row r="968" ht="14.45" customHeight="1">
      <c r="A968" s="824">
        <f>IF(C968="","",ROW()-2)</f>
        <v/>
      </c>
      <c r="B968" s="825" t="n"/>
      <c r="C968" s="826" t="n"/>
      <c r="D968" s="827" t="n"/>
      <c r="E968" s="828" t="n"/>
      <c r="F968" s="829" t="n"/>
      <c r="G968" s="829" t="n"/>
      <c r="H968" s="830" t="n"/>
      <c r="I968" s="37" t="n"/>
      <c r="J968" s="37" t="n"/>
      <c r="K968" s="35">
        <f>IFERROR(I968+J968,0)</f>
        <v/>
      </c>
    </row>
    <row r="969" ht="14.45" customHeight="1">
      <c r="A969" s="824">
        <f>IF(C969="","",ROW()-2)</f>
        <v/>
      </c>
      <c r="B969" s="825" t="n"/>
      <c r="C969" s="826" t="n"/>
      <c r="D969" s="827" t="n"/>
      <c r="E969" s="828" t="n"/>
      <c r="F969" s="829" t="n"/>
      <c r="G969" s="829" t="n"/>
      <c r="H969" s="830" t="n"/>
      <c r="I969" s="37" t="n"/>
      <c r="J969" s="37" t="n"/>
      <c r="K969" s="35">
        <f>IFERROR(I969+J969,0)</f>
        <v/>
      </c>
    </row>
    <row r="970" ht="14.45" customHeight="1">
      <c r="A970" s="824">
        <f>IF(C970="","",ROW()-2)</f>
        <v/>
      </c>
      <c r="B970" s="825" t="n"/>
      <c r="C970" s="826" t="n"/>
      <c r="D970" s="827" t="n"/>
      <c r="E970" s="828" t="n"/>
      <c r="F970" s="829" t="n"/>
      <c r="G970" s="829" t="n"/>
      <c r="H970" s="830" t="n"/>
      <c r="I970" s="37" t="n"/>
      <c r="J970" s="37" t="n"/>
      <c r="K970" s="35">
        <f>IFERROR(I970+J970,0)</f>
        <v/>
      </c>
    </row>
    <row r="971" ht="14.45" customHeight="1">
      <c r="A971" s="824">
        <f>IF(C971="","",ROW()-2)</f>
        <v/>
      </c>
      <c r="B971" s="825" t="n"/>
      <c r="C971" s="826" t="n"/>
      <c r="D971" s="827" t="n"/>
      <c r="E971" s="828" t="n"/>
      <c r="F971" s="829" t="n"/>
      <c r="G971" s="829" t="n"/>
      <c r="H971" s="830" t="n"/>
      <c r="I971" s="37" t="n"/>
      <c r="J971" s="37" t="n"/>
      <c r="K971" s="35">
        <f>IFERROR(I971+J971,0)</f>
        <v/>
      </c>
    </row>
    <row r="972" ht="14.45" customHeight="1">
      <c r="A972" s="824">
        <f>IF(C972="","",ROW()-2)</f>
        <v/>
      </c>
      <c r="B972" s="825" t="n"/>
      <c r="C972" s="826" t="n"/>
      <c r="D972" s="827" t="n"/>
      <c r="E972" s="828" t="n"/>
      <c r="F972" s="829" t="n"/>
      <c r="G972" s="829" t="n"/>
      <c r="H972" s="830" t="n"/>
      <c r="I972" s="37" t="n"/>
      <c r="J972" s="37" t="n"/>
      <c r="K972" s="35">
        <f>IFERROR(I972+J972,0)</f>
        <v/>
      </c>
    </row>
    <row r="973" ht="14.45" customHeight="1">
      <c r="A973" s="824">
        <f>IF(C973="","",ROW()-2)</f>
        <v/>
      </c>
      <c r="B973" s="825" t="n"/>
      <c r="C973" s="826" t="n"/>
      <c r="D973" s="827" t="n"/>
      <c r="E973" s="828" t="n"/>
      <c r="F973" s="829" t="n"/>
      <c r="G973" s="829" t="n"/>
      <c r="H973" s="830" t="n"/>
      <c r="I973" s="37" t="n"/>
      <c r="J973" s="37" t="n"/>
      <c r="K973" s="35">
        <f>IFERROR(I973+J973,0)</f>
        <v/>
      </c>
    </row>
    <row r="974" ht="14.45" customHeight="1">
      <c r="A974" s="824">
        <f>IF(C974="","",ROW()-2)</f>
        <v/>
      </c>
      <c r="B974" s="825" t="n"/>
      <c r="C974" s="826" t="n"/>
      <c r="D974" s="827" t="n"/>
      <c r="E974" s="828" t="n"/>
      <c r="F974" s="829" t="n"/>
      <c r="G974" s="829" t="n"/>
      <c r="H974" s="830" t="n"/>
      <c r="I974" s="37" t="n"/>
      <c r="J974" s="37" t="n"/>
      <c r="K974" s="35">
        <f>IFERROR(I974+J974,0)</f>
        <v/>
      </c>
    </row>
    <row r="975" ht="14.45" customHeight="1">
      <c r="A975" s="824">
        <f>IF(C975="","",ROW()-2)</f>
        <v/>
      </c>
      <c r="B975" s="825" t="n"/>
      <c r="C975" s="826" t="n"/>
      <c r="D975" s="827" t="n"/>
      <c r="E975" s="828" t="n"/>
      <c r="F975" s="829" t="n"/>
      <c r="G975" s="829" t="n"/>
      <c r="H975" s="830" t="n"/>
      <c r="I975" s="37" t="n"/>
      <c r="J975" s="37" t="n"/>
      <c r="K975" s="35">
        <f>IFERROR(I975+J975,0)</f>
        <v/>
      </c>
    </row>
    <row r="976" ht="14.45" customHeight="1">
      <c r="A976" s="824">
        <f>IF(C976="","",ROW()-2)</f>
        <v/>
      </c>
      <c r="B976" s="825" t="n"/>
      <c r="C976" s="826" t="n"/>
      <c r="D976" s="827" t="n"/>
      <c r="E976" s="828" t="n"/>
      <c r="F976" s="829" t="n"/>
      <c r="G976" s="829" t="n"/>
      <c r="H976" s="830" t="n"/>
      <c r="I976" s="37" t="n"/>
      <c r="J976" s="37" t="n"/>
      <c r="K976" s="35">
        <f>IFERROR(I976+J976,0)</f>
        <v/>
      </c>
    </row>
    <row r="977" ht="14.45" customHeight="1">
      <c r="A977" s="824">
        <f>IF(C977="","",ROW()-2)</f>
        <v/>
      </c>
      <c r="B977" s="825" t="n"/>
      <c r="C977" s="826" t="n"/>
      <c r="D977" s="827" t="n"/>
      <c r="E977" s="828" t="n"/>
      <c r="F977" s="829" t="n"/>
      <c r="G977" s="829" t="n"/>
      <c r="H977" s="830" t="n"/>
      <c r="I977" s="37" t="n"/>
      <c r="J977" s="37" t="n"/>
      <c r="K977" s="35">
        <f>IFERROR(I977+J977,0)</f>
        <v/>
      </c>
    </row>
    <row r="978" ht="14.45" customHeight="1">
      <c r="A978" s="824">
        <f>IF(C978="","",ROW()-2)</f>
        <v/>
      </c>
      <c r="B978" s="825" t="n"/>
      <c r="C978" s="826" t="n"/>
      <c r="D978" s="827" t="n"/>
      <c r="E978" s="828" t="n"/>
      <c r="F978" s="829" t="n"/>
      <c r="G978" s="829" t="n"/>
      <c r="H978" s="830" t="n"/>
      <c r="I978" s="37" t="n"/>
      <c r="J978" s="37" t="n"/>
      <c r="K978" s="35">
        <f>IFERROR(I978+J978,0)</f>
        <v/>
      </c>
    </row>
    <row r="979" ht="14.45" customHeight="1">
      <c r="A979" s="824">
        <f>IF(C979="","",ROW()-2)</f>
        <v/>
      </c>
      <c r="B979" s="825" t="n"/>
      <c r="C979" s="826" t="n"/>
      <c r="D979" s="827" t="n"/>
      <c r="E979" s="828" t="n"/>
      <c r="F979" s="829" t="n"/>
      <c r="G979" s="829" t="n"/>
      <c r="H979" s="830" t="n"/>
      <c r="I979" s="37" t="n"/>
      <c r="J979" s="37" t="n"/>
      <c r="K979" s="35">
        <f>IFERROR(I979+J979,0)</f>
        <v/>
      </c>
    </row>
    <row r="980" ht="14.45" customHeight="1">
      <c r="A980" s="824">
        <f>IF(C980="","",ROW()-2)</f>
        <v/>
      </c>
      <c r="B980" s="825" t="n"/>
      <c r="C980" s="826" t="n"/>
      <c r="D980" s="827" t="n"/>
      <c r="E980" s="828" t="n"/>
      <c r="F980" s="829" t="n"/>
      <c r="G980" s="829" t="n"/>
      <c r="H980" s="830" t="n"/>
      <c r="I980" s="37" t="n"/>
      <c r="J980" s="37" t="n"/>
      <c r="K980" s="35">
        <f>IFERROR(I980+J980,0)</f>
        <v/>
      </c>
    </row>
    <row r="981" ht="14.45" customHeight="1">
      <c r="A981" s="824">
        <f>IF(C981="","",ROW()-2)</f>
        <v/>
      </c>
      <c r="B981" s="825" t="n"/>
      <c r="C981" s="826" t="n"/>
      <c r="D981" s="827" t="n"/>
      <c r="E981" s="828" t="n"/>
      <c r="F981" s="829" t="n"/>
      <c r="G981" s="829" t="n"/>
      <c r="H981" s="830" t="n"/>
      <c r="I981" s="37" t="n"/>
      <c r="J981" s="37" t="n"/>
      <c r="K981" s="35">
        <f>IFERROR(I981+J981,0)</f>
        <v/>
      </c>
    </row>
    <row r="982" ht="14.45" customHeight="1">
      <c r="A982" s="824">
        <f>IF(C982="","",ROW()-2)</f>
        <v/>
      </c>
      <c r="B982" s="825" t="n"/>
      <c r="C982" s="826" t="n"/>
      <c r="D982" s="827" t="n"/>
      <c r="E982" s="828" t="n"/>
      <c r="F982" s="829" t="n"/>
      <c r="G982" s="829" t="n"/>
      <c r="H982" s="830" t="n"/>
      <c r="I982" s="37" t="n"/>
      <c r="J982" s="37" t="n"/>
      <c r="K982" s="35">
        <f>IFERROR(I982+J982,0)</f>
        <v/>
      </c>
    </row>
    <row r="983" ht="14.45" customHeight="1">
      <c r="A983" s="824">
        <f>IF(C983="","",ROW()-2)</f>
        <v/>
      </c>
      <c r="B983" s="825" t="n"/>
      <c r="C983" s="826" t="n"/>
      <c r="D983" s="827" t="n"/>
      <c r="E983" s="828" t="n"/>
      <c r="F983" s="829" t="n"/>
      <c r="G983" s="829" t="n"/>
      <c r="H983" s="830" t="n"/>
      <c r="I983" s="37" t="n"/>
      <c r="J983" s="37" t="n"/>
      <c r="K983" s="35">
        <f>IFERROR(I983+J983,0)</f>
        <v/>
      </c>
    </row>
    <row r="984" ht="14.45" customHeight="1">
      <c r="A984" s="824">
        <f>IF(C984="","",ROW()-2)</f>
        <v/>
      </c>
      <c r="B984" s="825" t="n"/>
      <c r="C984" s="826" t="n"/>
      <c r="D984" s="827" t="n"/>
      <c r="E984" s="828" t="n"/>
      <c r="F984" s="829" t="n"/>
      <c r="G984" s="829" t="n"/>
      <c r="H984" s="830" t="n"/>
      <c r="I984" s="37" t="n"/>
      <c r="J984" s="37" t="n"/>
      <c r="K984" s="35">
        <f>IFERROR(I984+J984,0)</f>
        <v/>
      </c>
    </row>
    <row r="985" ht="14.45" customHeight="1">
      <c r="A985" s="824">
        <f>IF(C985="","",ROW()-2)</f>
        <v/>
      </c>
      <c r="B985" s="825" t="n"/>
      <c r="C985" s="826" t="n"/>
      <c r="D985" s="827" t="n"/>
      <c r="E985" s="828" t="n"/>
      <c r="F985" s="829" t="n"/>
      <c r="G985" s="829" t="n"/>
      <c r="H985" s="830" t="n"/>
      <c r="I985" s="37" t="n"/>
      <c r="J985" s="37" t="n"/>
      <c r="K985" s="35">
        <f>IFERROR(I985+J985,0)</f>
        <v/>
      </c>
    </row>
    <row r="986" ht="14.45" customHeight="1">
      <c r="A986" s="824">
        <f>IF(C986="","",ROW()-2)</f>
        <v/>
      </c>
      <c r="B986" s="825" t="n"/>
      <c r="C986" s="826" t="n"/>
      <c r="D986" s="827" t="n"/>
      <c r="E986" s="828" t="n"/>
      <c r="F986" s="829" t="n"/>
      <c r="G986" s="829" t="n"/>
      <c r="H986" s="830" t="n"/>
      <c r="I986" s="37" t="n"/>
      <c r="J986" s="37" t="n"/>
      <c r="K986" s="35">
        <f>IFERROR(I986+J986,0)</f>
        <v/>
      </c>
    </row>
    <row r="987" ht="14.45" customHeight="1">
      <c r="A987" s="824">
        <f>IF(C987="","",ROW()-2)</f>
        <v/>
      </c>
      <c r="B987" s="825" t="n"/>
      <c r="C987" s="826" t="n"/>
      <c r="D987" s="827" t="n"/>
      <c r="E987" s="828" t="n"/>
      <c r="F987" s="829" t="n"/>
      <c r="G987" s="829" t="n"/>
      <c r="H987" s="830" t="n"/>
      <c r="I987" s="37" t="n"/>
      <c r="J987" s="37" t="n"/>
      <c r="K987" s="35">
        <f>IFERROR(I987+J987,0)</f>
        <v/>
      </c>
    </row>
    <row r="988" ht="14.45" customHeight="1">
      <c r="A988" s="824">
        <f>IF(C988="","",ROW()-2)</f>
        <v/>
      </c>
      <c r="B988" s="825" t="n"/>
      <c r="C988" s="826" t="n"/>
      <c r="D988" s="827" t="n"/>
      <c r="E988" s="828" t="n"/>
      <c r="F988" s="829" t="n"/>
      <c r="G988" s="829" t="n"/>
      <c r="H988" s="830" t="n"/>
      <c r="I988" s="37" t="n"/>
      <c r="J988" s="37" t="n"/>
      <c r="K988" s="35">
        <f>IFERROR(I988+J988,0)</f>
        <v/>
      </c>
    </row>
    <row r="989" ht="14.45" customHeight="1">
      <c r="A989" s="824">
        <f>IF(C989="","",ROW()-2)</f>
        <v/>
      </c>
      <c r="B989" s="825" t="n"/>
      <c r="C989" s="826" t="n"/>
      <c r="D989" s="827" t="n"/>
      <c r="E989" s="828" t="n"/>
      <c r="F989" s="829" t="n"/>
      <c r="G989" s="829" t="n"/>
      <c r="H989" s="830" t="n"/>
      <c r="I989" s="37" t="n"/>
      <c r="J989" s="37" t="n"/>
      <c r="K989" s="35">
        <f>IFERROR(I989+J989,0)</f>
        <v/>
      </c>
    </row>
    <row r="990" ht="14.45" customHeight="1">
      <c r="A990" s="824">
        <f>IF(C990="","",ROW()-2)</f>
        <v/>
      </c>
      <c r="B990" s="825" t="n"/>
      <c r="C990" s="826" t="n"/>
      <c r="D990" s="827" t="n"/>
      <c r="E990" s="828" t="n"/>
      <c r="F990" s="829" t="n"/>
      <c r="G990" s="829" t="n"/>
      <c r="H990" s="830" t="n"/>
      <c r="I990" s="37" t="n"/>
      <c r="J990" s="37" t="n"/>
      <c r="K990" s="35">
        <f>IFERROR(I990+J990,0)</f>
        <v/>
      </c>
    </row>
    <row r="991" ht="14.45" customHeight="1">
      <c r="A991" s="824">
        <f>IF(C991="","",ROW()-2)</f>
        <v/>
      </c>
      <c r="B991" s="825" t="n"/>
      <c r="C991" s="826" t="n"/>
      <c r="D991" s="827" t="n"/>
      <c r="E991" s="828" t="n"/>
      <c r="F991" s="829" t="n"/>
      <c r="G991" s="829" t="n"/>
      <c r="H991" s="830" t="n"/>
      <c r="I991" s="37" t="n"/>
      <c r="J991" s="37" t="n"/>
      <c r="K991" s="35">
        <f>IFERROR(I991+J991,0)</f>
        <v/>
      </c>
    </row>
    <row r="992" ht="14.45" customHeight="1">
      <c r="A992" s="824">
        <f>IF(C992="","",ROW()-2)</f>
        <v/>
      </c>
      <c r="B992" s="825" t="n"/>
      <c r="C992" s="826" t="n"/>
      <c r="D992" s="827" t="n"/>
      <c r="E992" s="828" t="n"/>
      <c r="F992" s="829" t="n"/>
      <c r="G992" s="829" t="n"/>
      <c r="H992" s="830" t="n"/>
      <c r="I992" s="37" t="n"/>
      <c r="J992" s="37" t="n"/>
      <c r="K992" s="35">
        <f>IFERROR(I992+J992,0)</f>
        <v/>
      </c>
    </row>
    <row r="993" ht="14.45" customHeight="1">
      <c r="A993" s="824">
        <f>IF(C993="","",ROW()-2)</f>
        <v/>
      </c>
      <c r="B993" s="825" t="n"/>
      <c r="C993" s="826" t="n"/>
      <c r="D993" s="827" t="n"/>
      <c r="E993" s="828" t="n"/>
      <c r="F993" s="829" t="n"/>
      <c r="G993" s="829" t="n"/>
      <c r="H993" s="830" t="n"/>
      <c r="I993" s="37" t="n"/>
      <c r="J993" s="37" t="n"/>
      <c r="K993" s="35">
        <f>IFERROR(I993+J993,0)</f>
        <v/>
      </c>
    </row>
    <row r="994" ht="14.45" customHeight="1">
      <c r="A994" s="824">
        <f>IF(C994="","",ROW()-2)</f>
        <v/>
      </c>
      <c r="B994" s="825" t="n"/>
      <c r="C994" s="826" t="n"/>
      <c r="D994" s="827" t="n"/>
      <c r="E994" s="828" t="n"/>
      <c r="F994" s="829" t="n"/>
      <c r="G994" s="829" t="n"/>
      <c r="H994" s="830" t="n"/>
      <c r="I994" s="37" t="n"/>
      <c r="J994" s="37" t="n"/>
      <c r="K994" s="35">
        <f>IFERROR(I994+J994,0)</f>
        <v/>
      </c>
    </row>
    <row r="995" ht="14.45" customHeight="1">
      <c r="A995" s="824">
        <f>IF(C995="","",ROW()-2)</f>
        <v/>
      </c>
      <c r="B995" s="825" t="n"/>
      <c r="C995" s="826" t="n"/>
      <c r="D995" s="827" t="n"/>
      <c r="E995" s="828" t="n"/>
      <c r="F995" s="829" t="n"/>
      <c r="G995" s="829" t="n"/>
      <c r="H995" s="830" t="n"/>
      <c r="I995" s="37" t="n"/>
      <c r="J995" s="37" t="n"/>
      <c r="K995" s="35">
        <f>IFERROR(I995+J995,0)</f>
        <v/>
      </c>
    </row>
    <row r="996" ht="14.45" customHeight="1">
      <c r="A996" s="824">
        <f>IF(C996="","",ROW()-2)</f>
        <v/>
      </c>
      <c r="B996" s="825" t="n"/>
      <c r="C996" s="826" t="n"/>
      <c r="D996" s="827" t="n"/>
      <c r="E996" s="828" t="n"/>
      <c r="F996" s="829" t="n"/>
      <c r="G996" s="829" t="n"/>
      <c r="H996" s="830" t="n"/>
      <c r="I996" s="37" t="n"/>
      <c r="J996" s="37" t="n"/>
      <c r="K996" s="35">
        <f>IFERROR(I996+J996,0)</f>
        <v/>
      </c>
    </row>
    <row r="997" ht="14.45" customHeight="1">
      <c r="A997" s="824">
        <f>IF(C997="","",ROW()-2)</f>
        <v/>
      </c>
      <c r="B997" s="825" t="n"/>
      <c r="C997" s="826" t="n"/>
      <c r="D997" s="827" t="n"/>
      <c r="E997" s="828" t="n"/>
      <c r="F997" s="829" t="n"/>
      <c r="G997" s="829" t="n"/>
      <c r="H997" s="830" t="n"/>
      <c r="I997" s="37" t="n"/>
      <c r="J997" s="37" t="n"/>
      <c r="K997" s="35">
        <f>IFERROR(I997+J997,0)</f>
        <v/>
      </c>
    </row>
    <row r="998" ht="14.45" customHeight="1">
      <c r="A998" s="824">
        <f>IF(C998="","",ROW()-2)</f>
        <v/>
      </c>
      <c r="B998" s="825" t="n"/>
      <c r="C998" s="826" t="n"/>
      <c r="D998" s="827" t="n"/>
      <c r="E998" s="828" t="n"/>
      <c r="F998" s="829" t="n"/>
      <c r="G998" s="829" t="n"/>
      <c r="H998" s="830" t="n"/>
      <c r="I998" s="37" t="n"/>
      <c r="J998" s="37" t="n"/>
      <c r="K998" s="35">
        <f>IFERROR(I998+J998,0)</f>
        <v/>
      </c>
    </row>
    <row r="999" ht="14.45" customHeight="1">
      <c r="A999" s="824">
        <f>IF(C999="","",ROW()-2)</f>
        <v/>
      </c>
      <c r="B999" s="825" t="n"/>
      <c r="C999" s="826" t="n"/>
      <c r="D999" s="827" t="n"/>
      <c r="E999" s="828" t="n"/>
      <c r="F999" s="829" t="n"/>
      <c r="G999" s="829" t="n"/>
      <c r="H999" s="830" t="n"/>
      <c r="I999" s="37" t="n"/>
      <c r="J999" s="37" t="n"/>
      <c r="K999" s="35">
        <f>IFERROR(I999+J999,0)</f>
        <v/>
      </c>
    </row>
    <row r="1000" ht="14.45" customHeight="1">
      <c r="A1000" s="824">
        <f>IF(C1000="","",ROW()-2)</f>
        <v/>
      </c>
      <c r="B1000" s="825" t="n"/>
      <c r="C1000" s="826" t="n"/>
      <c r="D1000" s="827" t="n"/>
      <c r="E1000" s="828" t="n"/>
      <c r="F1000" s="829" t="n"/>
      <c r="G1000" s="829" t="n"/>
      <c r="H1000" s="830" t="n"/>
      <c r="I1000" s="37" t="n"/>
      <c r="J1000" s="37" t="n"/>
      <c r="K1000" s="35">
        <f>IFERROR(I1000+J1000,0)</f>
        <v/>
      </c>
    </row>
    <row r="1001" ht="14.45" customHeight="1">
      <c r="A1001" s="824">
        <f>IF(C1001="","",ROW()-2)</f>
        <v/>
      </c>
      <c r="B1001" s="825" t="n"/>
      <c r="C1001" s="826" t="n"/>
      <c r="D1001" s="827" t="n"/>
      <c r="E1001" s="828" t="n"/>
      <c r="F1001" s="829" t="n"/>
      <c r="G1001" s="829" t="n"/>
      <c r="H1001" s="830" t="n"/>
      <c r="I1001" s="37" t="n"/>
      <c r="J1001" s="37" t="n"/>
      <c r="K1001" s="35">
        <f>IFERROR(I1001+J1001,0)</f>
        <v/>
      </c>
    </row>
    <row r="1002" ht="14.45" customHeight="1">
      <c r="A1002" s="824">
        <f>IF(C1002="","",ROW()-2)</f>
        <v/>
      </c>
      <c r="B1002" s="825" t="n"/>
      <c r="C1002" s="826" t="n"/>
      <c r="D1002" s="827" t="n"/>
      <c r="E1002" s="828" t="n"/>
      <c r="F1002" s="829" t="n"/>
      <c r="G1002" s="829" t="n"/>
      <c r="H1002" s="830" t="n"/>
      <c r="I1002" s="37" t="n"/>
      <c r="J1002" s="37" t="n"/>
      <c r="K1002" s="35">
        <f>IFERROR(I1002+J1002,0)</f>
        <v/>
      </c>
    </row>
    <row r="1003" ht="14.45" customHeight="1">
      <c r="A1003" s="831" t="n"/>
      <c r="B1003" s="831" t="n"/>
      <c r="C1003" s="831" t="n"/>
      <c r="D1003" s="831" t="n"/>
      <c r="E1003" s="77">
        <f>SUM(E3:E1002)</f>
        <v/>
      </c>
      <c r="F1003" s="77">
        <f>SUM(F3:F1002)</f>
        <v/>
      </c>
      <c r="G1003" s="78">
        <f>SUM(G3:G1002)</f>
        <v/>
      </c>
      <c r="H1003" s="78">
        <f>SUM(H3:H1002)</f>
        <v/>
      </c>
      <c r="I1003" s="79">
        <f>SUM(I3:I1002)</f>
        <v/>
      </c>
      <c r="J1003" s="80">
        <f>SUM(J3:J1002)</f>
        <v/>
      </c>
      <c r="K1003" s="80">
        <f>SUM(K3:K1002)</f>
        <v/>
      </c>
      <c r="L1003" s="81">
        <f>SUM(L3:L1002)</f>
        <v/>
      </c>
      <c r="M1003" s="78">
        <f>SUM(M3:M1002)</f>
        <v/>
      </c>
      <c r="N1003" s="76">
        <f>SUM(N3:N1002)</f>
        <v/>
      </c>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7">
    <dataValidation sqref="B4 B7:B8 B10 B12:B13 B15:B20 B22 B24:B25 B29:B33 B37:B38 B40:B42 B44 B48:B49 B51 B53:B54 B59:B61 B63:B64 B66:B71" showDropDown="0" showInputMessage="1" showErrorMessage="1" allowBlank="0" type="list">
      <formula1>"Type 1, Type 2, Type 3"</formula1>
    </dataValidation>
    <dataValidation sqref="B6 B9 B11 B27 B36 B47 B52 B55 B65" showDropDown="0" showInputMessage="1" showErrorMessage="1" allowBlank="0" type="list">
      <formula1>"Type 1, Type 2, Type 3, Type 4"</formula1>
    </dataValidation>
    <dataValidation sqref="S3:S72" showDropDown="0" showInputMessage="1" showErrorMessage="1" allowBlank="0" type="list">
      <formula1>"NNN, Gross"</formula1>
    </dataValidation>
    <dataValidation sqref="C3:C72" showDropDown="0" showInputMessage="1" showErrorMessage="1" allowBlank="0" type="list">
      <formula1>"Occupied, Vacant"</formula1>
    </dataValidation>
    <dataValidation sqref="B3 B5 B26 B28 B46 B50 B56:B58" showDropDown="0" showInputMessage="1" showErrorMessage="1" allowBlank="0" type="list">
      <formula1>"Type 1, Type 2, Type 3, Type 6"</formula1>
    </dataValidation>
    <dataValidation sqref="B14 B21 B23 B34:B35 B39 B43 B45 B62" showDropDown="0" showInputMessage="1" showErrorMessage="1" allowBlank="0" type="list">
      <formula1>"Type 1, Type 2, Type 3, Type 5"</formula1>
    </dataValidation>
    <dataValidation sqref="B72" showDropDown="0" showInputMessage="1" showErrorMessage="1" allowBlank="0" type="list">
      <formula1>"Type 1, Type 2, Type 3, Type 4, Type 7"</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inlineStr">
        <is>
          <t>for y1 realized only increases starting May</t>
        </is>
      </c>
    </row>
    <row r="3" ht="15.75" customHeight="1" thickBot="1">
      <c r="A3" s="371" t="inlineStr">
        <is>
          <t>Lots only</t>
        </is>
      </c>
      <c r="B3" s="59" t="inlineStr">
        <is>
          <t>next increase in May 2026</t>
        </is>
      </c>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t="inlineStr">
        <is>
          <t>MH Lot Rent (TOH)</t>
        </is>
      </c>
      <c r="B5" s="752" t="n">
        <v>0.035</v>
      </c>
      <c r="C5" s="834" t="n">
        <v>0.075</v>
      </c>
      <c r="D5" s="834" t="n">
        <v>0.07000000000000001</v>
      </c>
      <c r="E5" s="834" t="n">
        <v>0.05</v>
      </c>
      <c r="F5" s="834" t="n">
        <v>0.04</v>
      </c>
      <c r="G5" s="834" t="n">
        <v>0.04</v>
      </c>
      <c r="H5" s="834" t="n">
        <v>0.04</v>
      </c>
      <c r="I5" s="834" t="n">
        <v>0.04</v>
      </c>
      <c r="J5" s="834" t="n">
        <v>0.04</v>
      </c>
      <c r="K5" s="835" t="n">
        <v>0.04</v>
      </c>
    </row>
    <row r="6">
      <c r="A6" s="498" t="inlineStr">
        <is>
          <t>Long Term RV Rent</t>
        </is>
      </c>
      <c r="B6" s="752" t="n">
        <v>0.063</v>
      </c>
      <c r="C6" s="834" t="n">
        <v>0.075</v>
      </c>
      <c r="D6" s="834" t="n">
        <v>0.07000000000000001</v>
      </c>
      <c r="E6" s="834" t="n">
        <v>0.05</v>
      </c>
      <c r="F6" s="834" t="n">
        <v>0.04</v>
      </c>
      <c r="G6" s="834" t="n">
        <v>0.04</v>
      </c>
      <c r="H6" s="834" t="n">
        <v>0.04</v>
      </c>
      <c r="I6" s="834" t="n">
        <v>0.04</v>
      </c>
      <c r="J6" s="834" t="n">
        <v>0.04</v>
      </c>
      <c r="K6" s="835" t="n">
        <v>0.04</v>
      </c>
    </row>
    <row r="7">
      <c r="A7" s="498" t="n"/>
      <c r="B7" s="752" t="n">
        <v>0.042</v>
      </c>
      <c r="C7" s="834" t="n">
        <v>0.075</v>
      </c>
      <c r="D7" s="834" t="n">
        <v>0.07000000000000001</v>
      </c>
      <c r="E7" s="834" t="n">
        <v>0.05</v>
      </c>
      <c r="F7" s="834" t="n">
        <v>0.04</v>
      </c>
      <c r="G7" s="834" t="n">
        <v>0.04</v>
      </c>
      <c r="H7" s="834" t="n">
        <v>0.04</v>
      </c>
      <c r="I7" s="834" t="n">
        <v>0.04</v>
      </c>
      <c r="J7" s="834" t="n">
        <v>0.04</v>
      </c>
      <c r="K7" s="835" t="n">
        <v>0.04</v>
      </c>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row>
    <row r="8">
      <c r="A8" s="498" t="n"/>
      <c r="B8" s="752" t="n">
        <v>0.035</v>
      </c>
      <c r="C8" s="834" t="n">
        <v>0.075</v>
      </c>
      <c r="D8" s="834" t="n">
        <v>0.07000000000000001</v>
      </c>
      <c r="E8" s="834" t="n">
        <v>0.05</v>
      </c>
      <c r="F8" s="834" t="n">
        <v>0.04</v>
      </c>
      <c r="G8" s="834" t="n">
        <v>0.04</v>
      </c>
      <c r="H8" s="834" t="n">
        <v>0.04</v>
      </c>
      <c r="I8" s="834" t="n">
        <v>0.04</v>
      </c>
      <c r="J8" s="834" t="n">
        <v>0.04</v>
      </c>
      <c r="K8" s="835" t="n">
        <v>0.04</v>
      </c>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row>
    <row r="9">
      <c r="A9" s="498" t="n"/>
      <c r="B9" s="752" t="n"/>
      <c r="C9" s="834" t="n"/>
      <c r="D9" s="834" t="n"/>
      <c r="E9" s="834" t="n"/>
      <c r="F9" s="834" t="n"/>
      <c r="G9" s="834" t="n"/>
      <c r="H9" s="834" t="n"/>
      <c r="I9" s="834" t="n"/>
      <c r="J9" s="834" t="n"/>
      <c r="K9" s="835"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row>
    <row r="10">
      <c r="A10" s="498" t="n"/>
      <c r="B10" s="752">
        <f>IFERROR(D10/$D$12,0)</f>
        <v/>
      </c>
      <c r="C10" s="834">
        <f>'Unit Mix Summary'!B4</f>
        <v/>
      </c>
      <c r="D10" s="834">
        <f>'Unit Mix Summary'!E4</f>
        <v/>
      </c>
      <c r="E10" s="834">
        <f>IFERROR('Unit Mix Summary'!H4/'Unit Mix Summary'!E4,0)</f>
        <v/>
      </c>
      <c r="F10" s="834">
        <f>E10*(100%+B$5)</f>
        <v/>
      </c>
      <c r="G10" s="834">
        <f>F10*(100%+C$5)</f>
        <v/>
      </c>
      <c r="H10" s="834">
        <f>G10*(100%+D$5)</f>
        <v/>
      </c>
      <c r="I10" s="834">
        <f>H10*(100%+E$5)</f>
        <v/>
      </c>
      <c r="J10" s="834">
        <f>I10*(100%+F$5)</f>
        <v/>
      </c>
      <c r="K10" s="835">
        <f>J10*(100%+G$5)</f>
        <v/>
      </c>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row>
    <row r="11">
      <c r="A11" s="59" t="n"/>
      <c r="B11" s="59">
        <f>IFERROR(D11/$D$12,0)</f>
        <v/>
      </c>
      <c r="C11" s="59">
        <f>'Unit Mix Summary'!B5</f>
        <v/>
      </c>
      <c r="D11" s="59">
        <f>'Unit Mix Summary'!E5</f>
        <v/>
      </c>
      <c r="E11" s="59">
        <f>IFERROR('Unit Mix Summary'!H5/'Unit Mix Summary'!E5,0)</f>
        <v/>
      </c>
      <c r="F11" s="59">
        <f>E11*(100%+B$6)</f>
        <v/>
      </c>
      <c r="G11" s="59">
        <f>F11*(100%+C$6)</f>
        <v/>
      </c>
      <c r="H11" s="59">
        <f>G11*(100%+D$6)</f>
        <v/>
      </c>
      <c r="I11" s="59">
        <f>H11*(100%+E$6)</f>
        <v/>
      </c>
      <c r="J11" s="59">
        <f>I11*(100%+F$6)</f>
        <v/>
      </c>
      <c r="K11" s="59">
        <f>J11*(100%+G$6)</f>
        <v/>
      </c>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row>
    <row r="12">
      <c r="A12" s="244" t="n"/>
      <c r="B12" s="59">
        <f>SUM(B10:B11)</f>
        <v/>
      </c>
      <c r="C12" s="59" t="inlineStr">
        <is>
          <t>Total Weighted Average</t>
        </is>
      </c>
      <c r="D12" s="59">
        <f>SUM(D10:D11)</f>
        <v/>
      </c>
      <c r="E12" s="836">
        <f>SUMPRODUCT($B$10:$B$11,E10:E11)</f>
        <v/>
      </c>
      <c r="F12" s="59">
        <f>SUMPRODUCT($B$10:$B$11,F10:F11)</f>
        <v/>
      </c>
      <c r="G12" s="203">
        <f>SUMPRODUCT($B$10:$B$11,G10:G11)</f>
        <v/>
      </c>
      <c r="H12" s="59">
        <f>SUMPRODUCT($B$10:$B$11,H10:H11)</f>
        <v/>
      </c>
      <c r="I12" s="59">
        <f>SUMPRODUCT($B$10:$B$11,I10:I11)</f>
        <v/>
      </c>
      <c r="J12" s="59">
        <f>SUMPRODUCT($B$10:$B$11,J10:J11)</f>
        <v/>
      </c>
      <c r="K12" s="59">
        <f>SUMPRODUCT($B$10:$B$11,K10:K11)</f>
        <v/>
      </c>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row>
    <row r="13" ht="33" customHeight="1">
      <c r="A13" s="753" t="n"/>
      <c r="C13" s="59" t="n"/>
      <c r="D13" s="329" t="inlineStr">
        <is>
          <t>$change</t>
        </is>
      </c>
      <c r="E13" s="166" t="n"/>
      <c r="F13" s="138">
        <f>F12-E12</f>
        <v/>
      </c>
      <c r="G13" s="138">
        <f>G12-F12</f>
        <v/>
      </c>
      <c r="H13" s="138">
        <f>H12-G12</f>
        <v/>
      </c>
      <c r="I13" s="138">
        <f>I12-H12</f>
        <v/>
      </c>
      <c r="J13" s="138">
        <f>J12-I12</f>
        <v/>
      </c>
      <c r="K13" s="138">
        <f>K12-J12</f>
        <v/>
      </c>
      <c r="L13" s="138" t="n"/>
      <c r="M13" s="138" t="inlineStr">
        <is>
          <t>Year 8</t>
        </is>
      </c>
      <c r="N13" s="138" t="inlineStr">
        <is>
          <t>Year 9</t>
        </is>
      </c>
      <c r="O13" s="138" t="inlineStr">
        <is>
          <t>Year 10</t>
        </is>
      </c>
    </row>
    <row r="14" ht="36" customHeight="1">
      <c r="A14" s="837" t="n"/>
      <c r="B14" s="502" t="n"/>
      <c r="C14" s="503" t="n"/>
      <c r="D14" s="504" t="inlineStr">
        <is>
          <t>GPR</t>
        </is>
      </c>
      <c r="E14" s="212">
        <f>E12*$D$12*12</f>
        <v/>
      </c>
      <c r="F14" s="212">
        <f>F12*$D$12*12</f>
        <v/>
      </c>
      <c r="G14" s="212">
        <f>G12*$D$12*12</f>
        <v/>
      </c>
      <c r="H14" s="212">
        <f>H12*$D$12*12</f>
        <v/>
      </c>
      <c r="I14" s="212">
        <f>I12*$D$12*12</f>
        <v/>
      </c>
      <c r="J14" s="212">
        <f>J12*$D$12*12</f>
        <v/>
      </c>
      <c r="K14" s="212">
        <f>K12*$D$12*12</f>
        <v/>
      </c>
      <c r="L14" s="212" t="n"/>
      <c r="M14" s="212">
        <f>L14*(100%+I$5)</f>
        <v/>
      </c>
      <c r="N14" s="212">
        <f>M14*(100%+J$5)</f>
        <v/>
      </c>
      <c r="O14" s="212">
        <f>N14*(100%+K$5)</f>
        <v/>
      </c>
    </row>
    <row r="15" ht="42.95" customHeight="1">
      <c r="A15" s="837" t="n"/>
      <c r="B15" s="502" t="n"/>
      <c r="C15" s="503" t="n">
        <v>0</v>
      </c>
      <c r="D15" s="504" t="inlineStr">
        <is>
          <t>Vacant Lots</t>
        </is>
      </c>
      <c r="E15" s="212">
        <f>'Unit Mix Summary'!D4</f>
        <v/>
      </c>
      <c r="F15" s="212">
        <f>E15-C15</f>
        <v/>
      </c>
      <c r="G15" s="212" t="n"/>
      <c r="H15" s="212" t="n"/>
      <c r="I15" s="212" t="n"/>
      <c r="J15" s="212" t="n"/>
      <c r="K15" s="212" t="n"/>
      <c r="L15" s="212" t="n"/>
      <c r="M15" s="212">
        <f>L15*(100%+I$6)</f>
        <v/>
      </c>
      <c r="N15" s="212">
        <f>M15*(100%+J$6)</f>
        <v/>
      </c>
      <c r="O15" s="212">
        <f>N15*(100%+K$6)</f>
        <v/>
      </c>
    </row>
    <row r="16" ht="35.45" customHeight="1">
      <c r="A16" s="837" t="n"/>
      <c r="B16" s="502" t="n"/>
      <c r="C16" s="503" t="n">
        <v>0</v>
      </c>
      <c r="D16" s="504" t="inlineStr">
        <is>
          <t>Vacant Homes</t>
        </is>
      </c>
      <c r="E16" s="212">
        <f>'Unit Mix Summary'!D5</f>
        <v/>
      </c>
      <c r="F16" s="212">
        <f>E16-$C$16</f>
        <v/>
      </c>
      <c r="G16" s="212" t="n"/>
      <c r="H16" s="212" t="n"/>
      <c r="I16" s="212" t="n"/>
      <c r="J16" s="212" t="n"/>
      <c r="K16" s="212" t="n"/>
      <c r="L16" s="212" t="n"/>
      <c r="M16" s="212">
        <f>L16*(100%+I$7)</f>
        <v/>
      </c>
      <c r="N16" s="212">
        <f>M16*(100%+J$7)</f>
        <v/>
      </c>
      <c r="O16" s="212">
        <f>N16*(100%+K$7)</f>
        <v/>
      </c>
    </row>
    <row r="17" ht="35.45" customHeight="1">
      <c r="A17" s="837" t="n"/>
      <c r="B17" s="502" t="n"/>
      <c r="C17" s="503" t="n"/>
      <c r="D17" s="504" t="inlineStr">
        <is>
          <t>Vacancy</t>
        </is>
      </c>
      <c r="E17" s="212">
        <f>SUM(E15:E16)/$D$12</f>
        <v/>
      </c>
      <c r="F17" s="212">
        <f>SUM(F15:F16)/$D$12</f>
        <v/>
      </c>
      <c r="G17" s="212">
        <f>SUM(G15:G16)/$D$12</f>
        <v/>
      </c>
      <c r="H17" s="212">
        <f>SUM(H15:H16)/$D$12</f>
        <v/>
      </c>
      <c r="I17" s="212">
        <f>SUM(I15:I16)/$D$12</f>
        <v/>
      </c>
      <c r="J17" s="212">
        <f>SUM(J15:J16)/$D$12</f>
        <v/>
      </c>
      <c r="K17" s="212">
        <f>SUM(K15:K16)/$D$12</f>
        <v/>
      </c>
      <c r="L17" s="212" t="n"/>
      <c r="M17" s="212">
        <f>L17*(100%+I$8)</f>
        <v/>
      </c>
      <c r="N17" s="212">
        <f>M17*(100%+J$8)</f>
        <v/>
      </c>
      <c r="O17" s="212">
        <f>N17*(100%+K$8)</f>
        <v/>
      </c>
    </row>
    <row r="18" ht="35.45" customHeight="1">
      <c r="A18" s="837" t="n"/>
      <c r="B18" s="502" t="n"/>
      <c r="C18" s="503" t="n"/>
      <c r="D18" s="504" t="n"/>
      <c r="E18" s="212" t="n"/>
      <c r="F18" s="212" t="n"/>
      <c r="G18" s="212" t="n"/>
      <c r="H18" s="212" t="n"/>
      <c r="I18" s="212" t="n"/>
      <c r="J18" s="212" t="n"/>
      <c r="K18" s="212" t="n"/>
      <c r="L18" s="212" t="n"/>
      <c r="M18" s="212">
        <f>L18*(100%+I$9)</f>
        <v/>
      </c>
      <c r="N18" s="212">
        <f>M18*(100%+J$9)</f>
        <v/>
      </c>
      <c r="O18" s="212">
        <f>N18*(100%+K$9)</f>
        <v/>
      </c>
    </row>
    <row r="19" ht="35.45" customHeight="1">
      <c r="A19" s="837" t="n"/>
      <c r="B19" s="502" t="n"/>
      <c r="C19" s="503" t="n"/>
      <c r="D19" s="504" t="n"/>
      <c r="E19" s="212" t="n"/>
      <c r="F19" s="212" t="n"/>
      <c r="G19" s="212" t="n"/>
      <c r="H19" s="212" t="n"/>
      <c r="I19" s="212" t="n"/>
      <c r="J19" s="212" t="n"/>
      <c r="K19" s="212" t="n"/>
      <c r="L19" s="212" t="n"/>
      <c r="M19" s="212">
        <f>L19*(100%+I$10)</f>
        <v/>
      </c>
      <c r="N19" s="212">
        <f>M19*(100%+J$10)</f>
        <v/>
      </c>
      <c r="O19" s="212">
        <f>N19*(100%+K$10)</f>
        <v/>
      </c>
    </row>
    <row r="20" ht="35.25" customHeight="1">
      <c r="A20" s="677" t="n"/>
      <c r="B20" s="502" t="n"/>
      <c r="C20" s="505" t="n"/>
      <c r="D20" s="506" t="n"/>
      <c r="E20" s="507" t="n"/>
      <c r="F20" s="507" t="n"/>
      <c r="G20" s="507" t="n"/>
      <c r="H20" s="507" t="n"/>
      <c r="I20" s="507" t="n"/>
      <c r="J20" s="507" t="n"/>
      <c r="K20" s="507" t="n"/>
      <c r="L20" s="507" t="n"/>
      <c r="M20" s="507" t="n">
        <v>0</v>
      </c>
      <c r="N20" s="507" t="n">
        <v>0</v>
      </c>
      <c r="O20" s="507" t="n">
        <v>0</v>
      </c>
    </row>
    <row r="21" ht="15.6" customHeight="1">
      <c r="B21" s="502" t="n"/>
      <c r="D21" s="508" t="n"/>
      <c r="E21" s="442" t="n"/>
      <c r="F21" s="509" t="n"/>
      <c r="G21" s="509" t="n"/>
      <c r="H21" s="509" t="n"/>
      <c r="I21" s="509" t="n"/>
      <c r="J21" s="509" t="n"/>
      <c r="K21" s="509" t="n"/>
      <c r="L21" s="509" t="n"/>
      <c r="M21" s="509">
        <f>M16-L16</f>
        <v/>
      </c>
      <c r="N21" s="509">
        <f>N16-M16</f>
        <v/>
      </c>
      <c r="O21" s="509">
        <f>O16-N16</f>
        <v/>
      </c>
    </row>
    <row r="22" ht="24.6" customHeight="1">
      <c r="D22" s="510" t="n"/>
      <c r="E22" s="511" t="n"/>
      <c r="F22" s="511" t="n"/>
      <c r="G22" s="511" t="n"/>
      <c r="H22" s="511" t="n"/>
      <c r="I22" s="511" t="n"/>
      <c r="J22" s="511" t="n"/>
      <c r="K22" s="511" t="n"/>
      <c r="L22" s="511" t="n"/>
      <c r="M22" s="511">
        <f>(J14*(1+G$5)*(1+H$5)*C14+J15*(1+G$6)*(1+H$6)*C15)*12</f>
        <v/>
      </c>
      <c r="N22" s="511">
        <f>(J14*(1+G$5)*(1+H$5)*(1+I$5)*C14+J15*(1+G$6)*(1+H$6)*(1+I$6)*C15)*12</f>
        <v/>
      </c>
      <c r="O22" s="511">
        <f>(J14*(1+G$5)*(1+H$5)*(1+I$5)*(1+J$5)*C14+J15*(1+G$6)*(1+H$6)*(1+I$6)*(1+J$6)*C15)*12</f>
        <v/>
      </c>
    </row>
    <row r="23">
      <c r="B23" s="386" t="n"/>
      <c r="D23" s="404" t="inlineStr">
        <is>
          <t>Vacant Lots</t>
        </is>
      </c>
      <c r="E23" s="512">
        <f>'Unit Mix Summary'!D4+'Unit Mix Summary'!D5</f>
        <v/>
      </c>
      <c r="F23" s="512">
        <f>E23</f>
        <v/>
      </c>
      <c r="G23" s="512">
        <f>$F$23</f>
        <v/>
      </c>
      <c r="H23" s="512">
        <f>$F$23</f>
        <v/>
      </c>
      <c r="I23" s="512">
        <f>$F$23</f>
        <v/>
      </c>
      <c r="J23" s="512">
        <f>$F$23</f>
        <v/>
      </c>
      <c r="K23" s="512">
        <f>$F$23</f>
        <v/>
      </c>
      <c r="L23" s="512">
        <f>$F$23</f>
        <v/>
      </c>
      <c r="M23" s="512">
        <f>$F$23</f>
        <v/>
      </c>
      <c r="N23" s="512">
        <f>$F$23</f>
        <v/>
      </c>
      <c r="O23" s="512">
        <f>$F$23</f>
        <v/>
      </c>
    </row>
    <row r="24">
      <c r="B24" s="386" t="n"/>
      <c r="D24" s="404" t="inlineStr">
        <is>
          <t>Vacant Homes</t>
        </is>
      </c>
      <c r="E24" s="512">
        <f>'Unit Mix Summary'!D6</f>
        <v/>
      </c>
      <c r="F24" s="512">
        <f>E24-1</f>
        <v/>
      </c>
      <c r="G24" s="512">
        <f>$F$24</f>
        <v/>
      </c>
      <c r="H24" s="512">
        <f>$F$24</f>
        <v/>
      </c>
      <c r="I24" s="512">
        <f>$F$24</f>
        <v/>
      </c>
      <c r="J24" s="512">
        <f>$F$24</f>
        <v/>
      </c>
      <c r="K24" s="512">
        <f>$F$24</f>
        <v/>
      </c>
      <c r="L24" s="512">
        <f>$F$24</f>
        <v/>
      </c>
      <c r="M24" s="512">
        <f>$F$24</f>
        <v/>
      </c>
      <c r="N24" s="512">
        <f>$F$24</f>
        <v/>
      </c>
      <c r="O24" s="512">
        <f>$F$24</f>
        <v/>
      </c>
    </row>
    <row r="25">
      <c r="D25" s="513" t="inlineStr">
        <is>
          <t>Vacancy</t>
        </is>
      </c>
      <c r="E25" s="514">
        <f>SUM(E23:E24)/$D$20</f>
        <v/>
      </c>
      <c r="F25" s="514">
        <f>SUM(F23:F24)/$D$20</f>
        <v/>
      </c>
      <c r="G25" s="514">
        <f>SUM(G23:G24)/$D$20</f>
        <v/>
      </c>
      <c r="H25" s="514">
        <f>SUM(H23:H24)/$D$20</f>
        <v/>
      </c>
      <c r="I25" s="514">
        <f>SUM(I23:I24)/$D$20</f>
        <v/>
      </c>
      <c r="J25" s="514">
        <f>SUM(J23:J24)/$D$20</f>
        <v/>
      </c>
      <c r="K25" s="514">
        <f>SUM(K23:K24)/$D$20</f>
        <v/>
      </c>
      <c r="L25" s="514">
        <f>SUM(L23:L24)/$D$20</f>
        <v/>
      </c>
      <c r="M25" s="514">
        <f>SUM(M23:M24)/$D$20</f>
        <v/>
      </c>
      <c r="N25" s="514">
        <f>SUM(N23:N24)/$D$20</f>
        <v/>
      </c>
      <c r="O25" s="514">
        <f>SUM(O23:O24)/$D$20</f>
        <v/>
      </c>
    </row>
    <row r="26">
      <c r="D26" s="513" t="n"/>
      <c r="E26" s="514" t="n"/>
      <c r="F26" s="514" t="inlineStr">
        <is>
          <t>min vacancy estimated</t>
        </is>
      </c>
      <c r="G26" s="514" t="n"/>
      <c r="H26" s="514" t="n"/>
      <c r="I26" s="514" t="n"/>
      <c r="J26" s="514" t="n"/>
      <c r="K26" s="514" t="n"/>
      <c r="L26" s="514" t="n"/>
      <c r="M26" s="514" t="n"/>
      <c r="N26" s="514" t="n"/>
      <c r="O26" s="514" t="n"/>
    </row>
    <row r="27" ht="60" customHeight="1">
      <c r="D27" s="513" t="n"/>
      <c r="E27" s="754" t="inlineStr">
        <is>
          <t>1 SW LTO 43 being evicted so categorized as a vacant POH</t>
        </is>
      </c>
      <c r="F27" s="514" t="n"/>
      <c r="G27" s="514" t="n"/>
      <c r="H27" s="514" t="n"/>
      <c r="I27" s="514" t="n"/>
      <c r="J27" s="514" t="n"/>
      <c r="K27" s="514" t="n"/>
      <c r="L27" s="514" t="n"/>
      <c r="M27" s="514" t="n"/>
      <c r="N27" s="514" t="n"/>
      <c r="O27" s="514" t="n"/>
    </row>
    <row r="28">
      <c r="D28" s="513" t="n"/>
      <c r="E28" s="125" t="inlineStr">
        <is>
          <t>lot 69 is a vacant site--home to be delivered in few weeks</t>
        </is>
      </c>
      <c r="F28" s="514" t="n"/>
      <c r="G28" s="514" t="n"/>
      <c r="H28" s="514" t="n"/>
      <c r="I28" s="514" t="n"/>
      <c r="J28" s="514" t="n"/>
      <c r="K28" s="514" t="n"/>
      <c r="L28" s="514" t="n"/>
      <c r="M28" s="514" t="n"/>
      <c r="N28" s="514" t="n"/>
      <c r="O28" s="514" t="n"/>
    </row>
    <row r="29">
      <c r="D29" s="513" t="n"/>
      <c r="E29" s="514" t="inlineStr">
        <is>
          <t>LOT 8 IS A HOME CURRENTLY BEING REHABBED</t>
        </is>
      </c>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inlineStr">
        <is>
          <t>assumes 2 vacant POH to be sold</t>
        </is>
      </c>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inlineStr">
        <is>
          <t>until POH% comes down to 22%</t>
        </is>
      </c>
      <c r="O45" s="536" t="n"/>
    </row>
    <row r="46" outlineLevel="1">
      <c r="C46" s="537" t="n"/>
      <c r="O46" s="536" t="n"/>
    </row>
    <row r="47" outlineLevel="1">
      <c r="A47" s="59" t="inlineStr">
        <is>
          <t>Conversion</t>
        </is>
      </c>
      <c r="C47" s="537" t="inlineStr">
        <is>
          <t>These are currently 100% occupied</t>
        </is>
      </c>
      <c r="E47" s="59" t="inlineStr">
        <is>
          <t>POH Rentals%</t>
        </is>
      </c>
      <c r="O47" s="536" t="n"/>
    </row>
    <row r="48" outlineLevel="1">
      <c r="A48" s="59" t="inlineStr">
        <is>
          <t>sell existing POH</t>
        </is>
      </c>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v>3</v>
      </c>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v>35000</v>
      </c>
      <c r="D66" s="59" t="inlineStr">
        <is>
          <t>Sales Proceeds</t>
        </is>
      </c>
      <c r="E66" s="837">
        <f>E65*$C$66</f>
        <v/>
      </c>
      <c r="F66" s="837">
        <f>F65*$C$66</f>
        <v/>
      </c>
      <c r="G66" s="837">
        <f>G65*$C$66</f>
        <v/>
      </c>
      <c r="H66" s="837">
        <f>H65*$C$66</f>
        <v/>
      </c>
    </row>
    <row r="67" outlineLevel="1">
      <c r="C67" s="711" t="n">
        <v>0.1</v>
      </c>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v>1</v>
      </c>
      <c r="D78" s="590" t="n">
        <v>6000</v>
      </c>
      <c r="E78" s="590" t="n">
        <v>11</v>
      </c>
      <c r="F78" s="590" t="inlineStr">
        <is>
          <t>15yrs</t>
        </is>
      </c>
      <c r="G78" s="735" t="n">
        <v>46600</v>
      </c>
      <c r="H78" s="590" t="n">
        <v>2027</v>
      </c>
    </row>
    <row r="79">
      <c r="C79" s="590" t="n">
        <v>3</v>
      </c>
      <c r="D79" s="590" t="n">
        <v>14079</v>
      </c>
      <c r="E79" s="590" t="n">
        <v>10</v>
      </c>
      <c r="F79" s="590" t="inlineStr">
        <is>
          <t>10yyrs</t>
        </is>
      </c>
      <c r="G79" s="735" t="n">
        <v>49400</v>
      </c>
      <c r="H79" s="590" t="n">
        <v>2035</v>
      </c>
    </row>
    <row r="80">
      <c r="C80" s="748" t="n">
        <v>12</v>
      </c>
      <c r="D80" s="748" t="n">
        <v>28400</v>
      </c>
      <c r="E80" s="748" t="n">
        <v>11</v>
      </c>
      <c r="F80" s="748" t="inlineStr">
        <is>
          <t>20yrs</t>
        </is>
      </c>
      <c r="G80" s="749" t="n">
        <v>47849</v>
      </c>
      <c r="H80" s="748" t="n">
        <v>2031</v>
      </c>
    </row>
    <row r="81">
      <c r="C81" s="590" t="n">
        <v>19</v>
      </c>
      <c r="D81" s="590" t="n">
        <v>24768</v>
      </c>
      <c r="E81" s="590" t="n">
        <v>11</v>
      </c>
      <c r="F81" s="590" t="inlineStr">
        <is>
          <t>10yrs</t>
        </is>
      </c>
      <c r="G81" s="735" t="n">
        <v>49706</v>
      </c>
      <c r="H81" s="590" t="n">
        <v>2036</v>
      </c>
    </row>
    <row r="82">
      <c r="C82" s="748" t="n">
        <v>21</v>
      </c>
      <c r="D82" s="748" t="n">
        <v>25000</v>
      </c>
      <c r="E82" s="748" t="n">
        <v>9</v>
      </c>
      <c r="F82" s="748" t="inlineStr">
        <is>
          <t>8yrs</t>
        </is>
      </c>
      <c r="G82" s="749" t="n">
        <v>47880</v>
      </c>
      <c r="H82" s="748" t="n">
        <v>2031</v>
      </c>
    </row>
    <row r="83">
      <c r="C83" s="590" t="n">
        <v>24</v>
      </c>
      <c r="D83" s="590" t="n">
        <v>20700</v>
      </c>
      <c r="E83" s="590" t="n">
        <v>11</v>
      </c>
      <c r="F83" s="590" t="inlineStr">
        <is>
          <t>25yrs</t>
        </is>
      </c>
      <c r="G83" s="735" t="n">
        <v>51592</v>
      </c>
      <c r="H83" s="590" t="n">
        <v>2041</v>
      </c>
    </row>
    <row r="84">
      <c r="C84" s="590" t="n">
        <v>26</v>
      </c>
      <c r="D84" s="590" t="n">
        <v>63900</v>
      </c>
      <c r="E84" s="590" t="n">
        <v>10</v>
      </c>
      <c r="F84" s="590" t="inlineStr">
        <is>
          <t>20yrs</t>
        </is>
      </c>
      <c r="G84" s="735" t="n">
        <v>53053</v>
      </c>
      <c r="H84" s="590" t="n">
        <v>2045</v>
      </c>
    </row>
    <row r="85">
      <c r="C85" s="590" t="n">
        <v>32</v>
      </c>
      <c r="D85" s="590" t="n">
        <v>32400</v>
      </c>
      <c r="E85" s="590" t="n">
        <v>10</v>
      </c>
      <c r="F85" s="590" t="inlineStr">
        <is>
          <t>20yrs</t>
        </is>
      </c>
      <c r="G85" s="735" t="n">
        <v>53053</v>
      </c>
      <c r="H85" s="590" t="n">
        <v>2045</v>
      </c>
    </row>
    <row r="86">
      <c r="C86" s="748" t="n">
        <v>33</v>
      </c>
      <c r="D86" s="748" t="n">
        <v>30000</v>
      </c>
      <c r="E86" s="748" t="n">
        <v>9</v>
      </c>
      <c r="F86" s="748" t="inlineStr">
        <is>
          <t>8yrs</t>
        </is>
      </c>
      <c r="G86" s="749" t="n">
        <v>47969</v>
      </c>
      <c r="H86" s="748" t="n">
        <v>2031</v>
      </c>
    </row>
    <row r="87">
      <c r="C87" s="590" t="n">
        <v>39</v>
      </c>
      <c r="D87" s="590" t="n">
        <v>12500</v>
      </c>
      <c r="E87" s="590" t="n">
        <v>11</v>
      </c>
      <c r="F87" s="590" t="inlineStr">
        <is>
          <t>22yrs</t>
        </is>
      </c>
      <c r="G87" s="735" t="n">
        <v>50375</v>
      </c>
      <c r="H87" s="590" t="n">
        <v>2037</v>
      </c>
    </row>
    <row r="88">
      <c r="C88" s="590" t="n">
        <v>43</v>
      </c>
      <c r="D88" s="590" t="n">
        <v>18700</v>
      </c>
      <c r="E88" s="590" t="n">
        <v>11</v>
      </c>
      <c r="F88" s="590" t="inlineStr">
        <is>
          <t>10yrs</t>
        </is>
      </c>
      <c r="G88" s="735" t="n">
        <v>49522</v>
      </c>
      <c r="H88" s="590" t="n">
        <v>2035</v>
      </c>
    </row>
    <row r="89">
      <c r="C89" s="590" t="n">
        <v>45</v>
      </c>
      <c r="D89" s="590" t="inlineStr">
        <is>
          <t>being evicted</t>
        </is>
      </c>
      <c r="E89" s="590" t="n"/>
      <c r="F89" s="590" t="n"/>
      <c r="G89" s="735" t="n"/>
      <c r="H89" s="590" t="n">
        <v>1900</v>
      </c>
      <c r="J89" s="59" t="inlineStr">
        <is>
          <t>Highlighted have baloon payment at the end of date</t>
        </is>
      </c>
    </row>
    <row r="90">
      <c r="C90" s="748" t="n">
        <v>46</v>
      </c>
      <c r="D90" s="748" t="n">
        <v>29000</v>
      </c>
      <c r="E90" s="748" t="n">
        <v>10</v>
      </c>
      <c r="F90" s="748" t="inlineStr">
        <is>
          <t>10yrs</t>
        </is>
      </c>
      <c r="G90" s="749" t="n">
        <v>47604</v>
      </c>
      <c r="H90" s="748" t="n">
        <v>2030</v>
      </c>
      <c r="I90" s="693">
        <f>4/16</f>
        <v/>
      </c>
    </row>
    <row r="91">
      <c r="C91" s="590" t="n">
        <v>50</v>
      </c>
      <c r="D91" s="590" t="n">
        <v>38000</v>
      </c>
      <c r="E91" s="590" t="n">
        <v>10</v>
      </c>
      <c r="F91" s="590" t="inlineStr">
        <is>
          <t>12yrs</t>
        </is>
      </c>
      <c r="G91" s="735" t="n">
        <v>50100</v>
      </c>
      <c r="H91" s="590" t="n">
        <v>2037</v>
      </c>
    </row>
    <row r="92">
      <c r="C92" s="590" t="n">
        <v>56</v>
      </c>
      <c r="D92" s="590" t="n">
        <v>23175</v>
      </c>
      <c r="E92" s="590" t="n">
        <v>9</v>
      </c>
      <c r="F92" s="590" t="inlineStr">
        <is>
          <t>30yrs</t>
        </is>
      </c>
      <c r="G92" s="735" t="n">
        <v>52597</v>
      </c>
      <c r="H92" s="590" t="n">
        <v>2044</v>
      </c>
    </row>
    <row r="93">
      <c r="C93" s="590" t="n">
        <v>57</v>
      </c>
      <c r="D93" s="590" t="n">
        <v>48480</v>
      </c>
      <c r="E93" s="590" t="n">
        <v>10</v>
      </c>
      <c r="F93" s="590" t="inlineStr">
        <is>
          <t>15yrs</t>
        </is>
      </c>
      <c r="G93" s="735" t="n">
        <v>51227</v>
      </c>
      <c r="H93" s="590" t="n">
        <v>2040</v>
      </c>
    </row>
    <row r="94">
      <c r="C94" s="731" t="n">
        <v>58</v>
      </c>
      <c r="D94" s="731" t="n">
        <v>26750</v>
      </c>
      <c r="E94" s="731" t="n">
        <v>11</v>
      </c>
      <c r="F94" s="731" t="inlineStr">
        <is>
          <t>30yrs</t>
        </is>
      </c>
      <c r="G94" s="736" t="n">
        <v>54544</v>
      </c>
      <c r="H94" s="731" t="n">
        <v>2049</v>
      </c>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inlineStr">
        <is>
          <t>add new homes</t>
        </is>
      </c>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v>7</v>
      </c>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v>69</v>
      </c>
      <c r="G121" s="59" t="n">
        <v>69</v>
      </c>
      <c r="H121" s="59" t="n">
        <v>69</v>
      </c>
      <c r="I121" s="59" t="n">
        <v>69</v>
      </c>
      <c r="J121" s="59" t="n">
        <v>69</v>
      </c>
      <c r="K121" s="59" t="n">
        <v>69</v>
      </c>
      <c r="L121" s="59" t="n">
        <v>69</v>
      </c>
      <c r="M121" s="59" t="n">
        <v>69</v>
      </c>
      <c r="N121" s="59" t="n">
        <v>69</v>
      </c>
      <c r="O121" s="59" t="n">
        <v>69</v>
      </c>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v>80000</v>
      </c>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inlineStr">
        <is>
          <t>for 7 homes</t>
        </is>
      </c>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inlineStr">
        <is>
          <t>Lease up vacancy for new homes %-(Assume takes 3 months to sell)</t>
        </is>
      </c>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inlineStr">
        <is>
          <t xml:space="preserve">we sell new homes </t>
        </is>
      </c>
      <c r="L128" s="59" t="inlineStr">
        <is>
          <t xml:space="preserve">we sell new homes </t>
        </is>
      </c>
      <c r="M128" s="59" t="inlineStr">
        <is>
          <t xml:space="preserve">we sell new homes </t>
        </is>
      </c>
    </row>
    <row r="130">
      <c r="D130" s="59" t="n">
        <v>85000</v>
      </c>
      <c r="K130" s="59">
        <f>K119</f>
        <v/>
      </c>
      <c r="L130" s="59">
        <f>L119</f>
        <v/>
      </c>
      <c r="M130" s="59">
        <f>M119</f>
        <v/>
      </c>
    </row>
    <row r="131">
      <c r="D131" s="59" t="inlineStr">
        <is>
          <t>Additional sales proceeds new homes</t>
        </is>
      </c>
      <c r="K131" s="225">
        <f>K130*$D$130</f>
        <v/>
      </c>
      <c r="L131" s="225">
        <f>L130*$D$130</f>
        <v/>
      </c>
      <c r="M131" s="225">
        <f>M130*$D$130</f>
        <v/>
      </c>
    </row>
    <row r="132">
      <c r="C132" s="711" t="n">
        <v>0.1</v>
      </c>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MH/RV Rent Roll</t>
        </is>
      </c>
      <c r="C2" s="123" t="inlineStr">
        <is>
          <t>Next Increase in MAY 1 2026--Separate increases -see RR</t>
        </is>
      </c>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TOH MH Site</t>
        </is>
      </c>
      <c r="C4" s="211">
        <f>COUNTIFS('Rent Roll Input'!$D$3:$D$1002,"Occupied",'Rent Roll Input'!$C$3:$C$1002,"TOH MH Site")</f>
        <v/>
      </c>
      <c r="D4" s="211">
        <f>COUNTIFS('Rent Roll Input'!$D$3:$D$1002,"Vacant",'Rent Roll Input'!$C$3:$C$1002,"TOH MH Site")</f>
        <v/>
      </c>
      <c r="E4" s="211">
        <f>SUM(C4:D4)</f>
        <v/>
      </c>
      <c r="F4" s="212">
        <f>SUMIFS('Rent Roll Input'!$I$3:$I$1002,'Rent Roll Input'!$D$3:$D$1002,"Occupied",'Rent Roll Input'!$C$3:$C$1002,"TOH MH Site")</f>
        <v/>
      </c>
      <c r="G4" s="212">
        <f>SUMIFS('Rent Roll Input'!$I$3:$I$1002,'Rent Roll Input'!$D$3:$D$1002,"Vacant",'Rent Roll Input'!$C$3:$C$1002,"TOH MH Site")</f>
        <v/>
      </c>
      <c r="H4" s="213">
        <f>F4+G4</f>
        <v/>
      </c>
      <c r="I4" s="213" t="n"/>
    </row>
    <row r="5" ht="20.25" customHeight="1">
      <c r="A5" s="125" t="n"/>
      <c r="B5" s="210" t="inlineStr">
        <is>
          <t>POH-Infilled units</t>
        </is>
      </c>
      <c r="C5" s="211">
        <f>COUNTIFS('Rent Roll Input'!$D$3:$D$1002,"Occupied",'Rent Roll Input'!$C$3:$C$1002,"POH-Infilled units")</f>
        <v/>
      </c>
      <c r="D5" s="211">
        <f>COUNTIFS('Rent Roll Input'!$D$3:$D$1002,"Vacant",'Rent Roll Input'!$C$3:$C$1002,"POH-Infilled units")</f>
        <v/>
      </c>
      <c r="E5" s="211">
        <f>SUM(C5:D5)</f>
        <v/>
      </c>
      <c r="F5" s="212">
        <f>SUMIFS('Rent Roll Input'!$I$3:$I$1002,'Rent Roll Input'!$D$3:$D$1002,"Occupied",'Rent Roll Input'!$C$3:$C$1002,"POH-Infilled units")</f>
        <v/>
      </c>
      <c r="G5" s="212">
        <f>SUMIFS('Rent Roll Input'!$I$3:$I$1002,'Rent Roll Input'!$D$3:$D$1002,"Vacant",'Rent Roll Input'!$C$3:$C$1002,"POH-Infilled units")</f>
        <v/>
      </c>
      <c r="H5" s="213">
        <f>F5+G5</f>
        <v/>
      </c>
      <c r="I5" s="213" t="n"/>
    </row>
    <row r="6" ht="20.25" customHeight="1">
      <c r="A6" s="125" t="n"/>
      <c r="B6" s="210" t="inlineStr">
        <is>
          <t>Long term RV Site</t>
        </is>
      </c>
      <c r="C6" s="211">
        <f>COUNTIFS('Rent Roll Input'!$D$3:$D$1002,"Occupied",'Rent Roll Input'!$C$3:$C$1002,"Long term RV Site")</f>
        <v/>
      </c>
      <c r="D6" s="211">
        <f>COUNTIFS('Rent Roll Input'!$D$3:$D$1002,"Vacant",'Rent Roll Input'!$C$3:$C$1002,"Long term RV Site")</f>
        <v/>
      </c>
      <c r="E6" s="211">
        <f>SUM(C6:D6)</f>
        <v/>
      </c>
      <c r="F6" s="212">
        <f>SUMIFS('Rent Roll Input'!$I$3:$I$1002,'Rent Roll Input'!$D$3:$D$1002,"Occupied",'Rent Roll Input'!$C$3:$C$1002,"Long term RV Site")</f>
        <v/>
      </c>
      <c r="G6" s="212">
        <f>SUMIFS('Rent Roll Input'!$I$3:$I$1002,'Rent Roll Input'!$D$3:$D$1002,"Vacant",'Rent Roll Input'!$C$3:$C$1002,"Long term RV Site")</f>
        <v/>
      </c>
      <c r="H6" s="213">
        <f>F6+G6</f>
        <v/>
      </c>
      <c r="I6" s="213" t="n"/>
    </row>
    <row r="7" ht="20.25" customHeight="1">
      <c r="A7" s="125" t="n"/>
      <c r="B7" s="210" t="inlineStr">
        <is>
          <t>Retail/Commercial</t>
        </is>
      </c>
      <c r="C7" s="211">
        <f>COUNTIFS('Rent Roll Input'!$D$3:$D$1002,"Occupied",'Rent Roll Input'!$C$3:$C$1002,"Retail/Commercial")</f>
        <v/>
      </c>
      <c r="D7" s="211">
        <f>COUNTIFS('Rent Roll Input'!$D$3:$D$1002,"Vacant",'Rent Roll Input'!$C$3:$C$1002,"Retail/Commercial")</f>
        <v/>
      </c>
      <c r="E7" s="211">
        <f>SUM(C7:D7)</f>
        <v/>
      </c>
      <c r="F7" s="212">
        <f>SUMIFS('Rent Roll Input'!$I$3:$I$1002,'Rent Roll Input'!$D$3:$D$1002,"Occupied",'Rent Roll Input'!$C$3:$C$1002,"Retail/Commercial")</f>
        <v/>
      </c>
      <c r="G7" s="212">
        <f>SUMIFS('Rent Roll Input'!$I$3:$I$1002,'Rent Roll Input'!$D$3:$D$1002,"Vacant",'Rent Roll Input'!$C$3:$C$1002,"Retail/Commercial")</f>
        <v/>
      </c>
      <c r="H7" s="213">
        <f>F7+G7</f>
        <v/>
      </c>
      <c r="I7" s="213" t="n"/>
    </row>
    <row r="8" ht="20.25" customHeight="1">
      <c r="A8" s="125" t="n"/>
      <c r="B8" s="210" t="inlineStr">
        <is>
          <t>Total Units</t>
        </is>
      </c>
      <c r="C8" s="211">
        <f>SUM(C4:C7)</f>
        <v/>
      </c>
      <c r="D8" s="211">
        <f>SUM(D4:D7)</f>
        <v/>
      </c>
      <c r="E8" s="211">
        <f>SUM(E4:E7)</f>
        <v/>
      </c>
      <c r="F8" s="212" t="n"/>
      <c r="G8" s="212" t="n"/>
      <c r="H8" s="213" t="n"/>
      <c r="I8" s="213" t="n"/>
    </row>
    <row r="9" ht="20.25" customHeight="1">
      <c r="A9" s="125" t="n"/>
      <c r="B9" s="210" t="inlineStr">
        <is>
          <t>Total MH Sites (TOH + POH)</t>
        </is>
      </c>
      <c r="C9" s="211">
        <f>SUM(C4:C5)</f>
        <v/>
      </c>
      <c r="D9" s="211">
        <f>SUM(D4:D5)</f>
        <v/>
      </c>
      <c r="E9" s="211">
        <f>SUM(E4:E5)</f>
        <v/>
      </c>
      <c r="F9" s="212">
        <f>SUM(F4:F5)</f>
        <v/>
      </c>
      <c r="G9" s="212">
        <f>SUM(G4:G5)</f>
        <v/>
      </c>
      <c r="H9" s="213">
        <f>SUM(H4:H5)</f>
        <v/>
      </c>
      <c r="I9" s="213" t="n"/>
    </row>
    <row r="10" ht="20.25" customHeight="1">
      <c r="A10" s="125" t="n"/>
      <c r="B10" s="210" t="inlineStr">
        <is>
          <t>Total POH</t>
        </is>
      </c>
      <c r="C10" s="211">
        <f>C5</f>
        <v/>
      </c>
      <c r="D10" s="211">
        <f>D5</f>
        <v/>
      </c>
      <c r="E10" s="211">
        <f>E5</f>
        <v/>
      </c>
      <c r="F10" s="212" t="n"/>
      <c r="G10" s="212" t="n"/>
      <c r="H10" s="213" t="n"/>
      <c r="I10" s="74" t="n"/>
    </row>
    <row r="11" ht="20.25" customHeight="1">
      <c r="B11" s="644" t="inlineStr">
        <is>
          <t>Annual GPR (MH Lot Rent)</t>
        </is>
      </c>
      <c r="C11" s="645">
        <f>H9*12</f>
        <v/>
      </c>
      <c r="D11" s="645" t="n"/>
      <c r="E11" s="645" t="n"/>
      <c r="F11" s="212" t="n"/>
      <c r="G11" s="212" t="n"/>
      <c r="H11" s="213" t="n"/>
      <c r="I11" s="74" t="n"/>
    </row>
    <row r="12" ht="19.5" customHeight="1">
      <c r="B12" s="90" t="inlineStr">
        <is>
          <t>Avg MH Lot Rent</t>
        </is>
      </c>
      <c r="C12" s="91">
        <f>IFERROR(H4/E4,0)</f>
        <v/>
      </c>
      <c r="D12" s="91" t="n"/>
      <c r="E12" s="91" t="n"/>
      <c r="F12" s="92" t="n"/>
      <c r="G12" s="92" t="n"/>
      <c r="H12" s="93" t="n"/>
      <c r="I12" s="74" t="n"/>
    </row>
    <row r="13" ht="19.5" customHeight="1">
      <c r="B13" s="640" t="inlineStr">
        <is>
          <t>Occupancy %</t>
        </is>
      </c>
      <c r="C13" s="641">
        <f>IFERROR(C8/E8,0)</f>
        <v/>
      </c>
      <c r="D13" s="641" t="n"/>
      <c r="E13" s="641" t="n"/>
      <c r="F13" s="642" t="n"/>
      <c r="G13" s="642" t="n"/>
      <c r="H13" s="643" t="n"/>
      <c r="I13" s="311" t="n"/>
    </row>
    <row r="14" ht="19.5" customHeight="1">
      <c r="B14" s="640" t="inlineStr">
        <is>
          <t>POH %</t>
        </is>
      </c>
      <c r="C14" s="641">
        <f>IFERROR(E10/E9,0)</f>
        <v/>
      </c>
      <c r="D14" s="641" t="n"/>
      <c r="E14" s="641" t="n"/>
      <c r="F14" s="642" t="n"/>
      <c r="G14" s="642" t="n"/>
      <c r="H14" s="643" t="n"/>
      <c r="I14" s="311" t="n"/>
    </row>
    <row r="15" ht="18" customHeight="1" thickBot="1">
      <c r="B15" s="86" t="inlineStr">
        <is>
          <t>Annual Long term RV</t>
        </is>
      </c>
      <c r="C15" s="87">
        <f>H6*12</f>
        <v/>
      </c>
      <c r="D15" s="87" t="n"/>
      <c r="E15" s="87" t="n"/>
      <c r="F15" s="88" t="n"/>
      <c r="G15" s="88" t="n"/>
      <c r="H15" s="89" t="n"/>
      <c r="I15" s="74" t="n"/>
    </row>
    <row r="16" ht="21" customHeight="1" thickBot="1">
      <c r="B16" s="168" t="inlineStr">
        <is>
          <t>Long term RV avg rent</t>
        </is>
      </c>
      <c r="C16" s="496">
        <f>IFERROR(H6/E6,0)</f>
        <v/>
      </c>
      <c r="D16" s="74" t="n"/>
      <c r="E16" s="74" t="n"/>
      <c r="F16" s="74" t="n"/>
      <c r="G16" s="74" t="n"/>
      <c r="H16" s="74" t="n"/>
      <c r="I16" s="74" t="n"/>
    </row>
    <row r="17" ht="21.75" customHeight="1">
      <c r="B17" s="90" t="n"/>
      <c r="C17" s="496" t="n"/>
      <c r="D17" s="74" t="n"/>
      <c r="E17" s="322" t="n"/>
      <c r="F17" s="74" t="n"/>
      <c r="G17" s="74" t="n"/>
      <c r="H17" s="74" t="n"/>
      <c r="I17" s="74" t="n"/>
    </row>
    <row r="18" ht="21" customHeight="1" thickBot="1">
      <c r="B18" s="86" t="n"/>
      <c r="C18" s="169" t="n"/>
      <c r="D18" s="74" t="n"/>
      <c r="E18" s="404" t="n"/>
      <c r="F18" s="74" t="n"/>
      <c r="G18" s="74" t="n"/>
      <c r="H18" s="74" t="n"/>
      <c r="I18" s="74" t="n"/>
    </row>
    <row r="19" ht="15.75" customFormat="1" customHeight="1" s="125" thickBot="1">
      <c r="B19" s="86" t="n"/>
      <c r="C19" s="169" t="n"/>
      <c r="F19" s="311" t="n"/>
      <c r="I19" s="325" t="n"/>
    </row>
    <row r="20" ht="15.75" customHeight="1" thickBot="1">
      <c r="B20" s="86" t="n"/>
      <c r="C20" s="169" t="n"/>
      <c r="D20" s="74" t="n"/>
      <c r="E20" s="74" t="n"/>
      <c r="F20" s="74" t="n"/>
      <c r="G20" s="74" t="n"/>
      <c r="H20" s="74" t="n"/>
      <c r="I20" s="325" t="n"/>
    </row>
    <row r="21" ht="15.75" customHeight="1" thickBot="1">
      <c r="B21" s="168" t="n"/>
      <c r="C21" s="496" t="n"/>
      <c r="D21" s="74" t="n"/>
      <c r="E21" s="74" t="n"/>
      <c r="F21" s="74" t="n"/>
      <c r="G21" s="74" t="n"/>
      <c r="H21" s="74" t="n"/>
      <c r="I21" s="325" t="n"/>
    </row>
    <row r="22" ht="15.75" customHeight="1" thickBot="1">
      <c r="B22" s="90" t="n"/>
      <c r="C22" s="496" t="n"/>
      <c r="D22" s="74" t="n"/>
      <c r="E22" s="74" t="n"/>
      <c r="F22" s="74" t="n"/>
      <c r="G22" s="74" t="n"/>
      <c r="H22" s="74" t="n"/>
      <c r="I22" s="325" t="n"/>
    </row>
    <row r="23" ht="15.75" customHeight="1" thickBot="1">
      <c r="B23" s="168" t="inlineStr">
        <is>
          <t>Annual LTO Premium</t>
        </is>
      </c>
      <c r="C23" s="496">
        <f>H14*12</f>
        <v/>
      </c>
      <c r="D23" s="74" t="n"/>
      <c r="E23" s="74" t="n"/>
      <c r="F23" s="74" t="n"/>
      <c r="G23" s="74" t="n"/>
      <c r="H23" s="74" t="n"/>
      <c r="I23" s="325" t="n"/>
    </row>
    <row r="24">
      <c r="B24" s="90" t="inlineStr">
        <is>
          <t>Avg Lot Rent</t>
        </is>
      </c>
      <c r="C24" s="496">
        <f>'Rent Roll Input'!G1004</f>
        <v/>
      </c>
      <c r="D24" s="74" t="n"/>
      <c r="E24" s="74" t="n"/>
      <c r="F24" s="74" t="n"/>
      <c r="G24" s="74" t="n"/>
      <c r="H24" s="74"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278"/>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G2" s="258" t="inlineStr">
        <is>
          <t>ALT NOI</t>
        </is>
      </c>
      <c r="H2" s="258" t="inlineStr">
        <is>
          <t>Lot Rent only NOI</t>
        </is>
      </c>
      <c r="I2" s="258" t="n"/>
      <c r="J2" s="661" t="n"/>
      <c r="K2" s="662" t="inlineStr">
        <is>
          <t>Comps</t>
        </is>
      </c>
      <c r="L2" s="662" t="inlineStr">
        <is>
          <t>Comps</t>
        </is>
      </c>
      <c r="O2" s="59" t="n"/>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63" t="inlineStr">
        <is>
          <t>Notes</t>
        </is>
      </c>
      <c r="O3" s="487" t="n"/>
      <c r="P3" s="59" t="n"/>
      <c r="Q3" s="59" t="n"/>
      <c r="R3" s="59" t="n"/>
    </row>
    <row r="4" ht="19.5" customHeight="1" thickBot="1">
      <c r="A4" s="131" t="inlineStr">
        <is>
          <t>Gross Potential Rent</t>
        </is>
      </c>
      <c r="B4" s="126">
        <f>SUMIFS('Data Consolidation'!$D$3:$D$36,'Data Consolidation'!$A$3:$A$36,"Gross Potential Rent")</f>
        <v/>
      </c>
      <c r="C4" s="126">
        <f>SUMIFS('Data Consolidation'!$E$3:$E$36,'Data Consolidation'!$A$3:$A$36,"Gross Potential Rent")</f>
        <v/>
      </c>
      <c r="D4" s="126">
        <f>SUMIFS('Data Consolidation'!$G$3:$G$36,'Data Consolidation'!$A$3:$A$36,"Gross Potential Rent")</f>
        <v/>
      </c>
      <c r="E4" s="126">
        <f>SUMIFS('Data Consolidation'!$H$3:$H$36,'Data Consolidation'!$A$3:$A$36,"Gross Potential Rent")</f>
        <v/>
      </c>
      <c r="F4" s="126">
        <f>SUMIFS('Data Consolidation'!$F$3:$F$36,'Data Consolidation'!$A$3:$A$36,"Gross Potential Rent")</f>
        <v/>
      </c>
      <c r="G4" s="320">
        <f>'Unit Mix Rent Growth'!H14</f>
        <v/>
      </c>
      <c r="H4" s="320">
        <f>I4</f>
        <v/>
      </c>
      <c r="I4" s="320">
        <f>'Unit Mix Summary'!C11</f>
        <v/>
      </c>
      <c r="J4" s="663" t="n"/>
      <c r="K4" s="708" t="n"/>
      <c r="L4" s="652" t="n"/>
      <c r="M4" s="154" t="inlineStr">
        <is>
          <t>Property Name</t>
        </is>
      </c>
      <c r="N4" t="inlineStr">
        <is>
          <t>Whaleshead Beach Resort</t>
        </is>
      </c>
      <c r="O4" s="458" t="inlineStr">
        <is>
          <t>Purchase/Offer Price</t>
        </is>
      </c>
      <c r="P4" s="97" t="n">
        <v>10000000</v>
      </c>
      <c r="Q4" s="95" t="inlineStr">
        <is>
          <t>Purchase/Offer Price</t>
        </is>
      </c>
      <c r="R4" s="223" t="n"/>
      <c r="S4" s="458" t="inlineStr">
        <is>
          <t>Homes</t>
        </is>
      </c>
      <c r="T4" s="97" t="n"/>
    </row>
    <row r="5" ht="19.5" customHeight="1" thickBot="1">
      <c r="A5" s="132" t="inlineStr">
        <is>
          <t>Less: Vacancy</t>
        </is>
      </c>
      <c r="B5" s="846">
        <f>SUMIFS('Data Consolidation'!$D$3:$D$36,'Data Consolidation'!$A$3:$A$36,"Vacancy")</f>
        <v/>
      </c>
      <c r="C5" s="846">
        <f>SUMIFS('Data Consolidation'!$E$3:$E$36,'Data Consolidation'!$A$3:$A$36,"Vacancy")</f>
        <v/>
      </c>
      <c r="D5" s="846">
        <f>SUMIFS('Data Consolidation'!$G$3:$G$36,'Data Consolidation'!$A$3:$A$36,"Vacancy")</f>
        <v/>
      </c>
      <c r="E5" s="846">
        <f>SUMIFS('Data Consolidation'!$H$3:$H$36,'Data Consolidation'!$A$3:$A$36,"Vacancy")</f>
        <v/>
      </c>
      <c r="F5" s="846">
        <f>SUMIFS('Data Consolidation'!$F$3:$F$36,'Data Consolidation'!$A$3:$A$36,"Vacancy")</f>
        <v/>
      </c>
      <c r="G5" s="846">
        <f>-5%*G4</f>
        <v/>
      </c>
      <c r="H5" s="846">
        <f>I5</f>
        <v/>
      </c>
      <c r="I5" s="846">
        <f>-J5*I4</f>
        <v/>
      </c>
      <c r="J5" s="638">
        <f>100%-N8</f>
        <v/>
      </c>
      <c r="K5" s="709" t="n"/>
      <c r="L5" s="653" t="n"/>
      <c r="M5" s="154" t="inlineStr">
        <is>
          <t>Property Address</t>
        </is>
      </c>
      <c r="N5" t="inlineStr">
        <is>
          <t>19921 Whaleshead Road</t>
        </is>
      </c>
      <c r="O5" s="96" t="inlineStr">
        <is>
          <t>Purchase Price Per Site</t>
        </is>
      </c>
      <c r="P5" s="98">
        <f>P4/N7</f>
        <v/>
      </c>
      <c r="Q5" s="96" t="inlineStr">
        <is>
          <t>Purchase Price Per Site</t>
        </is>
      </c>
      <c r="R5" s="224">
        <f>R4/P7</f>
        <v/>
      </c>
      <c r="S5" s="458" t="inlineStr">
        <is>
          <t>Utilities</t>
        </is>
      </c>
      <c r="T5" s="97" t="n"/>
    </row>
    <row r="6" ht="19.5" customHeight="1" thickBot="1">
      <c r="A6" s="132" t="inlineStr">
        <is>
          <t>Less: Concessions</t>
        </is>
      </c>
      <c r="B6" s="846">
        <f>SUMIFS('Data Consolidation'!$D$3:$D$36,'Data Consolidation'!$A$3:$A$36,"Concessions")</f>
        <v/>
      </c>
      <c r="C6" s="846">
        <f>SUMIFS('Data Consolidation'!$E$3:$E$36,'Data Consolidation'!$A$3:$A$36,"Concessions")</f>
        <v/>
      </c>
      <c r="D6" s="846">
        <f>SUMIFS('Data Consolidation'!$G$3:$G$36,'Data Consolidation'!$A$3:$A$36,"Concessions")</f>
        <v/>
      </c>
      <c r="E6" s="846">
        <f>SUMIFS('Data Consolidation'!$H$3:$H$36,'Data Consolidation'!$A$3:$A$36,"Concessions")</f>
        <v/>
      </c>
      <c r="F6" s="846">
        <f>SUMIFS('Data Consolidation'!$F$3:$F$36,'Data Consolidation'!$A$3:$A$36,"Concessions")</f>
        <v/>
      </c>
      <c r="G6" s="846">
        <f>-J6*$G$4</f>
        <v/>
      </c>
      <c r="H6" s="846">
        <f>I6</f>
        <v/>
      </c>
      <c r="I6" s="846" t="n">
        <v>0</v>
      </c>
      <c r="J6" s="94">
        <f>-I6/I4</f>
        <v/>
      </c>
      <c r="K6" s="709" t="n"/>
      <c r="L6" s="653" t="n"/>
      <c r="M6" s="154" t="inlineStr">
        <is>
          <t>Property Type</t>
        </is>
      </c>
      <c r="N6" t="inlineStr">
        <is>
          <t>Hybrid</t>
        </is>
      </c>
      <c r="O6" s="96" t="inlineStr">
        <is>
          <t>Underwritten CAP rate</t>
        </is>
      </c>
      <c r="P6" s="98">
        <f>I47/P4</f>
        <v/>
      </c>
      <c r="Q6" s="96" t="inlineStr">
        <is>
          <t>Underwritten CAP rate</t>
        </is>
      </c>
      <c r="R6" s="328">
        <f>I47/R4</f>
        <v/>
      </c>
      <c r="S6" s="458" t="inlineStr">
        <is>
          <t>Flood Zone</t>
        </is>
      </c>
      <c r="T6" s="97" t="n"/>
    </row>
    <row r="7" ht="19.5" customHeight="1" thickBot="1">
      <c r="A7" s="132" t="inlineStr">
        <is>
          <t>Less: Bad Debt</t>
        </is>
      </c>
      <c r="B7" s="127">
        <f>SUMIFS('Data Consolidation'!$D$3:$D$36,'Data Consolidation'!$A$3:$A$36,"Bad Debt")</f>
        <v/>
      </c>
      <c r="C7" s="127">
        <f>SUMIFS('Data Consolidation'!$E$3:$E$36,'Data Consolidation'!$A$3:$A$36,"Bad Debt")</f>
        <v/>
      </c>
      <c r="D7" s="127">
        <f>SUMIFS('Data Consolidation'!$G$3:$G$36,'Data Consolidation'!$A$3:$A$36,"Bad Debt")</f>
        <v/>
      </c>
      <c r="E7" s="127">
        <f>SUMIFS('Data Consolidation'!$H$3:$H$36,'Data Consolidation'!$A$3:$A$36,"Bad Debt")</f>
        <v/>
      </c>
      <c r="F7" s="127">
        <f>SUMIFS('Data Consolidation'!$F$3:$F$36,'Data Consolidation'!$A$3:$A$36,"Bad Debt")</f>
        <v/>
      </c>
      <c r="G7" s="108">
        <f>-J7*$G$4</f>
        <v/>
      </c>
      <c r="H7" s="108">
        <f>I7</f>
        <v/>
      </c>
      <c r="I7" s="108">
        <f>D7</f>
        <v/>
      </c>
      <c r="J7" s="94" t="n">
        <v>0.03</v>
      </c>
      <c r="K7" s="709" t="n"/>
      <c r="L7" s="653" t="n"/>
      <c r="M7" s="154" t="inlineStr">
        <is>
          <t xml:space="preserve"># of Units </t>
        </is>
      </c>
      <c r="N7">
        <f>'Unit Mix Summary'!E8</f>
        <v/>
      </c>
      <c r="O7" s="96" t="inlineStr">
        <is>
          <t>Stabilized YOC</t>
        </is>
      </c>
      <c r="P7" s="459">
        <f>G47/'Sources and Uses'!C18</f>
        <v/>
      </c>
      <c r="Q7" s="96" t="inlineStr">
        <is>
          <t>Stabilized YOC</t>
        </is>
      </c>
      <c r="R7" s="261">
        <f>G47/'Sources and Uses'!C18</f>
        <v/>
      </c>
    </row>
    <row r="8" ht="19.5" customHeight="1" thickBot="1">
      <c r="A8" s="478" t="n"/>
      <c r="B8" s="127" t="n"/>
      <c r="C8" s="127" t="n"/>
      <c r="D8" s="127" t="n"/>
      <c r="E8" s="127" t="n"/>
      <c r="F8" s="127" t="n"/>
      <c r="G8" s="479" t="n"/>
      <c r="H8" s="479" t="n"/>
      <c r="I8" s="479" t="n"/>
      <c r="J8" s="480" t="n"/>
      <c r="K8" s="708" t="n"/>
      <c r="L8" s="654" t="n"/>
      <c r="M8" s="154" t="inlineStr">
        <is>
          <t>Rent Roll Occupancy</t>
        </is>
      </c>
      <c r="N8">
        <f>'Unit Mix Summary'!C13</f>
        <v/>
      </c>
      <c r="O8" s="111" t="n"/>
      <c r="P8" s="321">
        <f>'Unit Mix Summary'!C18</f>
        <v/>
      </c>
      <c r="Q8" s="481" t="n"/>
      <c r="R8" s="482" t="n"/>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847" t="n"/>
      <c r="L9" s="848" t="n"/>
      <c r="M9" s="633" t="inlineStr">
        <is>
          <t>Acreage</t>
        </is>
      </c>
      <c r="O9" s="96" t="inlineStr">
        <is>
          <t>Asking Price by Seller</t>
        </is>
      </c>
      <c r="P9" s="98" t="n">
        <v>10000000</v>
      </c>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I9/$N$7</f>
        <v/>
      </c>
      <c r="K10" s="849" t="n"/>
      <c r="L10" s="850" t="n"/>
      <c r="M10" s="633" t="inlineStr">
        <is>
          <t>County</t>
        </is>
      </c>
      <c r="N10" t="inlineStr">
        <is>
          <t>Curry</t>
        </is>
      </c>
      <c r="O10" s="96" t="inlineStr">
        <is>
          <t xml:space="preserve">Asking Price Per Site </t>
        </is>
      </c>
      <c r="P10" s="98">
        <f>P9/N7</f>
        <v/>
      </c>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298" t="n"/>
      <c r="L11" s="298" t="n"/>
      <c r="M11" s="298" t="n"/>
    </row>
    <row r="12" ht="23.25" customHeight="1">
      <c r="A12" s="133" t="inlineStr">
        <is>
          <t>Utility Reimbursement</t>
        </is>
      </c>
      <c r="B12" s="127">
        <f>SUMIFS('Data Consolidation'!$D$3:$D$36,'Data Consolidation'!$A$3:$A$36,"Utility Reimbursement")</f>
        <v/>
      </c>
      <c r="C12" s="127">
        <f>SUMIFS('Data Consolidation'!$E$3:$E$36,'Data Consolidation'!$A$3:$A$36,"Utility Reimbursement")</f>
        <v/>
      </c>
      <c r="D12" s="127">
        <f>SUMIFS('Data Consolidation'!$G$3:$G$36,'Data Consolidation'!$A$3:$A$36,"Utility Reimbursement")</f>
        <v/>
      </c>
      <c r="E12" s="127">
        <f>SUMIFS('Data Consolidation'!$H$3:$H$36,'Data Consolidation'!$A$3:$A$36,"Utility Reimbursement")</f>
        <v/>
      </c>
      <c r="F12" s="127">
        <f>SUMIFS('Data Consolidation'!$F$3:$F$36,'Data Consolidation'!$A$3:$A$36,"Utility Reimbursement")</f>
        <v/>
      </c>
      <c r="G12" s="108">
        <f>I12</f>
        <v/>
      </c>
      <c r="H12" s="108">
        <f>I12</f>
        <v/>
      </c>
      <c r="I12" s="108">
        <f>D12</f>
        <v/>
      </c>
      <c r="J12" s="108">
        <f>I12/$N$7</f>
        <v/>
      </c>
      <c r="K12" s="851" t="n"/>
      <c r="L12" s="851" t="n"/>
      <c r="M12" s="154" t="n"/>
      <c r="O12" s="329" t="inlineStr">
        <is>
          <t>Brookings Multifamily cap rate at 6%-7.5%</t>
        </is>
      </c>
      <c r="P12" s="329" t="n"/>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Consolidation'!$D$3:$D$36,'Data Consolidation'!$A$3:$A$36,"Home Rent Income")</f>
        <v/>
      </c>
      <c r="C13" s="127">
        <f>SUMIFS('Data Consolidation'!$E$3:$E$36,'Data Consolidation'!$A$3:$A$36,"Home Rent Income")</f>
        <v/>
      </c>
      <c r="D13" s="127">
        <f>SUMIFS('Data Consolidation'!$G$3:$G$36,'Data Consolidation'!$A$3:$A$36,"Home Rent Income")</f>
        <v/>
      </c>
      <c r="E13" s="127">
        <f>SUMIFS('Data Consolidation'!$H$3:$H$36,'Data Consolidation'!$A$3:$A$36,"Home Rent Income")</f>
        <v/>
      </c>
      <c r="F13" s="127">
        <f>SUMIFS('Data Consolidation'!$F$3:$F$36,'Data Consolidation'!$A$3:$A$36,"Home Rent Income")</f>
        <v/>
      </c>
      <c r="G13" s="108">
        <f>'Rent Roll Input'!J151*12*95%</f>
        <v/>
      </c>
      <c r="H13" s="108" t="n">
        <v>0</v>
      </c>
      <c r="I13" s="108" t="n">
        <v>0</v>
      </c>
      <c r="J13" s="108">
        <f>I13/$N$7</f>
        <v/>
      </c>
      <c r="K13" s="851" t="n"/>
      <c r="L13" s="851" t="n"/>
      <c r="M13" s="327" t="inlineStr">
        <is>
          <t>Asset</t>
        </is>
      </c>
      <c r="N13" t="inlineStr">
        <is>
          <t>NOI</t>
        </is>
      </c>
      <c r="O13" s="275" t="inlineStr">
        <is>
          <t>CAP RATE</t>
        </is>
      </c>
      <c r="P13" s="852" t="inlineStr">
        <is>
          <t>VALUE</t>
        </is>
      </c>
      <c r="Q13" s="670" t="n">
        <v>0</v>
      </c>
      <c r="R13" s="853">
        <f>P13/Q13</f>
        <v/>
      </c>
      <c r="S13" s="853">
        <f>R13/T13</f>
        <v/>
      </c>
      <c r="T13" s="671" t="n">
        <v>0</v>
      </c>
      <c r="U13" s="854" t="n"/>
    </row>
    <row r="14" ht="21" customHeight="1">
      <c r="A14" s="134" t="inlineStr">
        <is>
          <t>RV Site Rental Income</t>
        </is>
      </c>
      <c r="B14" s="127">
        <f>SUMIFS('Data Consolidation'!$D$3:$D$36,'Data Consolidation'!$A$3:$A$36,"RV Site Rental Income")</f>
        <v/>
      </c>
      <c r="C14" s="127">
        <f>SUMIFS('Data Consolidation'!$E$3:$E$36,'Data Consolidation'!$A$3:$A$36,"RV Site Rental Income")</f>
        <v/>
      </c>
      <c r="D14" s="127">
        <f>SUMIFS('Data Consolidation'!$G$3:$G$36,'Data Consolidation'!$A$3:$A$36,"RV Site Rental Income")</f>
        <v/>
      </c>
      <c r="E14" s="127">
        <f>SUMIFS('Data Consolidation'!$H$3:$H$36,'Data Consolidation'!$A$3:$A$36,"RV Site Rental Income")</f>
        <v/>
      </c>
      <c r="F14" s="127">
        <f>SUMIFS('Data Consolidation'!$F$3:$F$36,'Data Consolidation'!$A$3:$A$36,"RV Site Rental Income")</f>
        <v/>
      </c>
      <c r="G14" s="108">
        <f>I14</f>
        <v/>
      </c>
      <c r="H14" s="108">
        <f>I14</f>
        <v/>
      </c>
      <c r="I14" s="108">
        <f>'Unit Mix Summary'!C15*90%</f>
        <v/>
      </c>
      <c r="J14" s="108">
        <f>I14/$N$7</f>
        <v/>
      </c>
      <c r="K14" s="851" t="n"/>
      <c r="L14" s="851" t="n"/>
      <c r="M14" s="154" t="inlineStr">
        <is>
          <t>Lot Rent only NOI</t>
        </is>
      </c>
      <c r="N14">
        <f>I47</f>
        <v/>
      </c>
      <c r="O14" s="275" t="n">
        <v>0.055</v>
      </c>
      <c r="P14" s="669">
        <f>N14/O14</f>
        <v/>
      </c>
      <c r="Q14" s="725" t="n">
        <v>0</v>
      </c>
      <c r="R14" s="853">
        <f>P14/Q14</f>
        <v/>
      </c>
      <c r="S14" s="853">
        <f>R14/T14</f>
        <v/>
      </c>
      <c r="T14" s="671" t="n">
        <v>0</v>
      </c>
      <c r="U14" s="854" t="n"/>
    </row>
    <row r="15" ht="21.75" customHeight="1">
      <c r="A15" s="134" t="inlineStr">
        <is>
          <t>Storage Income</t>
        </is>
      </c>
      <c r="B15" s="127">
        <f>SUMIFS('Data Consolidation'!$D$3:$D$36,'Data Consolidation'!$A$3:$A$36,"Parking Income")</f>
        <v/>
      </c>
      <c r="C15" s="127">
        <f>SUMIFS('Data Consolidation'!$E$3:$E$36,'Data Consolidation'!$A$3:$A$36,"Parking Income")</f>
        <v/>
      </c>
      <c r="D15" s="127">
        <f>SUMIFS('Data Consolidation'!$G$3:$G$36,'Data Consolidation'!$A$3:$A$36,"Parking Income")</f>
        <v/>
      </c>
      <c r="E15" s="127">
        <f>SUMIFS('Data Consolidation'!$H$3:$H$36,'Data Consolidation'!$A$3:$A$36,"Parking Income")</f>
        <v/>
      </c>
      <c r="F15" s="127">
        <f>SUMIFS('Data Consolidation'!$F$3:$F$36,'Data Consolidation'!$A$3:$A$36,"Parking Income")</f>
        <v/>
      </c>
      <c r="G15" s="108">
        <f>I15</f>
        <v/>
      </c>
      <c r="H15" s="108">
        <f>I15</f>
        <v/>
      </c>
      <c r="I15" s="108">
        <f>D15</f>
        <v/>
      </c>
      <c r="J15" s="108">
        <f>I15/$N$7</f>
        <v/>
      </c>
      <c r="K15" s="851" t="n"/>
      <c r="L15" s="851" t="n"/>
      <c r="M15" s="154" t="inlineStr">
        <is>
          <t>Home Rent only NOI</t>
        </is>
      </c>
      <c r="N15" s="225">
        <f>I47-H47</f>
        <v/>
      </c>
      <c r="O15" s="275" t="n">
        <v>0.12</v>
      </c>
      <c r="P15" s="669">
        <f>N15/O15</f>
        <v/>
      </c>
      <c r="Q15" s="672" t="n"/>
      <c r="R15" s="853" t="n"/>
      <c r="S15" s="671" t="n"/>
      <c r="T15" s="671" t="n"/>
      <c r="U15" s="854" t="n"/>
    </row>
    <row r="16" ht="21.75" customHeight="1">
      <c r="A16" s="134" t="inlineStr">
        <is>
          <t>Retail Income</t>
        </is>
      </c>
      <c r="B16" s="127">
        <f>SUMIFS('Data Consolidation'!$D$3:$D$36,'Data Consolidation'!$A$3:$A$36,"Laundry Income")</f>
        <v/>
      </c>
      <c r="C16" s="127">
        <f>SUMIFS('Data Consolidation'!$E$3:$E$36,'Data Consolidation'!$A$3:$A$36,"Retail")</f>
        <v/>
      </c>
      <c r="D16" s="127">
        <f>SUMIFS('Data Consolidation'!$G$3:$G$36,'Data Consolidation'!$A$3:$A$36,"Retail")</f>
        <v/>
      </c>
      <c r="E16" s="127">
        <f>SUMIFS('Data Consolidation'!$H$3:$H$36,'Data Consolidation'!$A$3:$A$36,"Retail")</f>
        <v/>
      </c>
      <c r="F16" s="127">
        <f>SUMIFS('Data Consolidation'!$F$3:$F$36,'Data Consolidation'!$A$3:$A$36,"Retail")</f>
        <v/>
      </c>
      <c r="G16" s="108">
        <f>I16</f>
        <v/>
      </c>
      <c r="H16" s="108" t="n"/>
      <c r="I16" s="108">
        <f>'Unit Mix Summary'!H7*12*98%</f>
        <v/>
      </c>
      <c r="J16" s="108">
        <f>I16/$N$7</f>
        <v/>
      </c>
      <c r="K16" s="851" t="n"/>
      <c r="L16" s="851" t="n"/>
      <c r="M16" s="154" t="inlineStr">
        <is>
          <t>Total</t>
        </is>
      </c>
      <c r="N16">
        <f>SUM(N14:N15)</f>
        <v/>
      </c>
      <c r="O16" s="313">
        <f>N16/P16</f>
        <v/>
      </c>
      <c r="P16" s="314">
        <f>SUM(P14:P15)</f>
        <v/>
      </c>
      <c r="Q16" s="671" t="n"/>
      <c r="R16" s="853" t="n"/>
      <c r="S16" s="671" t="n"/>
      <c r="T16" s="671" t="n"/>
      <c r="U16" s="854" t="n"/>
    </row>
    <row r="17" ht="17.25" customHeight="1">
      <c r="A17" s="134" t="inlineStr">
        <is>
          <t>Other Income</t>
        </is>
      </c>
      <c r="B17" s="127">
        <f>SUMIFS('Data Consolidation'!$D$3:$D$36,'Data Consolidation'!$A$3:$A$36,"Other Income")</f>
        <v/>
      </c>
      <c r="C17" s="127">
        <f>SUMIFS('Data Consolidation'!$E$3:$E$36,'Data Consolidation'!$A$3:$A$36,"Other Income")</f>
        <v/>
      </c>
      <c r="D17" s="127">
        <f>SUMIFS('Data Consolidation'!$G$3:$G$36,'Data Consolidation'!$A$3:$A$36,"Other Income")</f>
        <v/>
      </c>
      <c r="E17" s="127">
        <f>SUMIFS('Data Consolidation'!$H$3:$H$36,'Data Consolidation'!$A$3:$A$36,"Other Income")</f>
        <v/>
      </c>
      <c r="F17" s="127">
        <f>SUMIFS('Data Consolidation'!$F$3:$F$36,'Data Consolidation'!$A$3:$A$36,"Other Income")</f>
        <v/>
      </c>
      <c r="G17" s="108">
        <f>I17</f>
        <v/>
      </c>
      <c r="H17" s="108">
        <f>I17</f>
        <v/>
      </c>
      <c r="I17" s="108">
        <f>AVERAGE(C17,D17)</f>
        <v/>
      </c>
      <c r="J17" s="108">
        <f>I17/$N$7</f>
        <v/>
      </c>
      <c r="K17" s="851" t="n"/>
      <c r="L17" s="851"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I19/$N$7</f>
        <v/>
      </c>
      <c r="K19" s="856" t="n"/>
      <c r="L19" s="856" t="n"/>
      <c r="M19" s="633" t="inlineStr">
        <is>
          <t>per month</t>
        </is>
      </c>
      <c r="O19" s="144" t="inlineStr">
        <is>
          <t>Tax Analysis Section</t>
        </is>
      </c>
      <c r="P19" s="59" t="n"/>
      <c r="Q19" s="59" t="n"/>
      <c r="R19" s="59" t="n"/>
    </row>
    <row r="20" ht="14.25" customHeight="1" thickBot="1">
      <c r="A20" s="118" t="inlineStr">
        <is>
          <t>YoY % Growth</t>
        </is>
      </c>
      <c r="B20" s="229" t="n"/>
      <c r="C20" s="230">
        <f>(C19-B19)/B19</f>
        <v/>
      </c>
      <c r="D20" s="230">
        <f>(D19-C19)/C19</f>
        <v/>
      </c>
      <c r="E20" s="230">
        <f>(E19-D19)/D19</f>
        <v/>
      </c>
      <c r="F20" s="70" t="n"/>
      <c r="G20" s="105" t="n"/>
      <c r="H20" s="105" t="n"/>
      <c r="I20" s="105" t="n"/>
      <c r="J20" s="666" t="n"/>
      <c r="K20" s="856" t="n"/>
      <c r="L20" s="856" t="n"/>
      <c r="M20" s="633" t="inlineStr">
        <is>
          <t>per unit</t>
        </is>
      </c>
      <c r="O20" s="275" t="inlineStr">
        <is>
          <t xml:space="preserve">Assessed Value </t>
        </is>
      </c>
      <c r="P20" s="852" t="n"/>
      <c r="Q20" s="59"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275" t="inlineStr">
        <is>
          <t>Levy Rate</t>
        </is>
      </c>
      <c r="P21" s="315" t="n"/>
      <c r="Q21" s="59" t="n"/>
      <c r="R21" s="59" t="n"/>
    </row>
    <row r="22" ht="19.5" customHeight="1">
      <c r="A22" s="134" t="inlineStr">
        <is>
          <t>RE Taxes</t>
        </is>
      </c>
      <c r="B22" s="127">
        <f>SUMIFS('Data Consolidation'!$D$43:$D$102,'Data Consolidation'!$A$43:$A$102,"RE Taxes")</f>
        <v/>
      </c>
      <c r="C22" s="127">
        <f>SUMIFS('Data Consolidation'!$E$43:$E$102,'Data Consolidation'!$A$43:$A$102,"RE Taxes")</f>
        <v/>
      </c>
      <c r="D22" s="127">
        <f>SUMIFS('Data Consolidation'!$G$43:$G$102,'Data Consolidation'!$A$43:$A$102,"RE Taxes")</f>
        <v/>
      </c>
      <c r="E22" s="127">
        <f>SUMIFS('Data Consolidation'!$H$43:$H$102,'Data Consolidation'!$A$43:$A$102,"RE Taxes")</f>
        <v/>
      </c>
      <c r="F22" s="127">
        <f>SUMIFS('Data Consolidation'!$F$43:$F$102,'Data Consolidation'!$A$43:$A$102,"RE Taxes")</f>
        <v/>
      </c>
      <c r="G22" s="324">
        <f>I22</f>
        <v/>
      </c>
      <c r="H22" s="324">
        <f>I22</f>
        <v/>
      </c>
      <c r="I22" s="324">
        <f>J22*N7</f>
        <v/>
      </c>
      <c r="J22" s="108" t="n">
        <v>400</v>
      </c>
      <c r="K22" s="851" t="n"/>
      <c r="L22" s="857" t="n"/>
      <c r="M22" s="274" t="n"/>
      <c r="O22" s="313" t="inlineStr">
        <is>
          <t>Tax</t>
        </is>
      </c>
      <c r="P22" s="314">
        <f>P20*P21</f>
        <v/>
      </c>
      <c r="Q22" s="59" t="n"/>
      <c r="R22" s="59" t="n"/>
    </row>
    <row r="23" ht="15" customHeight="1">
      <c r="A23" s="134" t="inlineStr">
        <is>
          <t>Insurance</t>
        </is>
      </c>
      <c r="B23" s="127">
        <f>SUMIFS('Data Consolidation'!$D$43:$D$102,'Data Consolidation'!$A$43:$A$102,"Insurance")</f>
        <v/>
      </c>
      <c r="C23" s="127">
        <f>SUMIFS('Data Consolidation'!$E$43:$E$102,'Data Consolidation'!$A$43:$A$102,"Insurance")</f>
        <v/>
      </c>
      <c r="D23" s="127">
        <f>SUMIFS('Data Consolidation'!$G$43:$G$102,'Data Consolidation'!$A$43:$A$102,"Insurance")</f>
        <v/>
      </c>
      <c r="E23" s="127">
        <f>SUMIFS('Data Consolidation'!$H$43:$H$102,'Data Consolidation'!$A$43:$A$102,"Insurance")</f>
        <v/>
      </c>
      <c r="F23" s="127">
        <f>SUMIFS('Data Consolidation'!$F$43:$F$102,'Data Consolidation'!$A$43:$A$102,"Insurance")</f>
        <v/>
      </c>
      <c r="G23" s="324">
        <f>I23</f>
        <v/>
      </c>
      <c r="H23" s="108">
        <f>I23</f>
        <v/>
      </c>
      <c r="I23" s="108">
        <f>D23*1.05</f>
        <v/>
      </c>
      <c r="J23" s="108">
        <f>I23/$N$7</f>
        <v/>
      </c>
      <c r="K23" s="851" t="n"/>
      <c r="L23" s="857" t="n"/>
      <c r="M23" s="274" t="n"/>
      <c r="O23" s="59" t="n"/>
      <c r="P23" s="59" t="n"/>
      <c r="Q23" s="59" t="n"/>
      <c r="R23" s="59" t="n"/>
    </row>
    <row r="24" ht="16.5" customHeight="1">
      <c r="A24" s="291" t="n"/>
      <c r="B24" s="292" t="n"/>
      <c r="C24" s="292" t="n"/>
      <c r="D24" s="292" t="n"/>
      <c r="E24" s="292" t="n"/>
      <c r="F24" s="293" t="n"/>
      <c r="G24" s="294" t="n"/>
      <c r="H24" s="294" t="n"/>
      <c r="I24" s="294" t="n"/>
      <c r="J24" s="295" t="n"/>
      <c r="K24" s="703" t="n"/>
      <c r="L24" s="646" t="n"/>
      <c r="M24" s="296" t="n"/>
      <c r="O24" s="806" t="n"/>
      <c r="P24" s="806" t="n"/>
      <c r="Q24" s="806" t="n"/>
      <c r="R24" s="806" t="n"/>
      <c r="S24" s="806" t="n"/>
      <c r="T24" s="806" t="n"/>
      <c r="U24" s="806" t="n"/>
      <c r="V24" s="806" t="n"/>
      <c r="W24" s="806" t="n"/>
      <c r="X24" s="806" t="n"/>
      <c r="Y24" s="806" t="n"/>
      <c r="Z24" s="806" t="n"/>
      <c r="AA24" s="806" t="n"/>
    </row>
    <row r="25" ht="19.5" customHeight="1">
      <c r="A25" s="134" t="inlineStr">
        <is>
          <t>Gas/Fuel</t>
        </is>
      </c>
      <c r="B25" s="127">
        <f>SUMIFS('Data Consolidation'!$D$43:$D$102,'Data Consolidation'!$A$43:$A$102,"Gas/Fuel")</f>
        <v/>
      </c>
      <c r="C25" s="127">
        <f>SUMIFS('Data Consolidation'!$E$43:$E$102,'Data Consolidation'!$A$43:$A$102,"Gas/Fuel")</f>
        <v/>
      </c>
      <c r="D25" s="127">
        <f>SUMIFS('Data Consolidation'!$G$43:$G$102,'Data Consolidation'!$A$43:$A$102,"Gas/Fuel")</f>
        <v/>
      </c>
      <c r="E25" s="127">
        <f>SUMIFS('Data Consolidation'!$H$43:$H$102,'Data Consolidation'!$A$43:$A$102,"Gas/Fuel")</f>
        <v/>
      </c>
      <c r="F25" s="127">
        <f>SUMIFS('Data Consolidation'!$F$43:$F$102,'Data Consolidation'!$A$43:$A$102,"Gas/Fuel")</f>
        <v/>
      </c>
      <c r="G25" s="324">
        <f>I25</f>
        <v/>
      </c>
      <c r="H25" s="108">
        <f>I25</f>
        <v/>
      </c>
      <c r="I25" s="108">
        <f>D25*1.03</f>
        <v/>
      </c>
      <c r="J25" s="108">
        <f>I25/$N$7</f>
        <v/>
      </c>
      <c r="K25" s="851" t="n"/>
      <c r="L25" s="857" t="n"/>
      <c r="M25" s="154" t="n"/>
      <c r="O25" s="809" t="n"/>
      <c r="P25" s="809" t="n"/>
      <c r="Q25" s="809" t="n"/>
      <c r="R25" s="809" t="n"/>
      <c r="S25" s="809" t="n"/>
      <c r="T25" s="810" t="n"/>
      <c r="U25" s="809" t="n"/>
      <c r="V25" s="809" t="n"/>
      <c r="W25" s="809" t="n"/>
      <c r="X25" s="809" t="n"/>
      <c r="Y25" s="806" t="n"/>
      <c r="Z25" s="806" t="n"/>
      <c r="AA25" s="806" t="n"/>
    </row>
    <row r="26" ht="19.5" customHeight="1">
      <c r="A26" s="134" t="inlineStr">
        <is>
          <t>Electrcitiy</t>
        </is>
      </c>
      <c r="B26" s="127">
        <f>SUMIFS('Data Consolidation'!$D$43:$D$102,'Data Consolidation'!$A$43:$A$102,"Electricity")</f>
        <v/>
      </c>
      <c r="C26" s="127">
        <f>SUMIFS('Data Consolidation'!$E$43:$E$102,'Data Consolidation'!$A$43:$A$102,"Electricity")</f>
        <v/>
      </c>
      <c r="D26" s="127">
        <f>SUMIFS('Data Consolidation'!$G$43:$G$102,'Data Consolidation'!$A$43:$A$102,"Electricity")</f>
        <v/>
      </c>
      <c r="E26" s="127">
        <f>SUMIFS('Data Consolidation'!$H$43:$H$102,'Data Consolidation'!$A$43:$A$102,"Electricity")</f>
        <v/>
      </c>
      <c r="F26" s="127">
        <f>SUMIFS('Data Consolidation'!$F$43:$F$102,'Data Consolidation'!$A$43:$A$102,"Electricity")</f>
        <v/>
      </c>
      <c r="G26" s="324">
        <f>I26</f>
        <v/>
      </c>
      <c r="H26" s="108">
        <f>I26</f>
        <v/>
      </c>
      <c r="I26" s="108">
        <f>D26*1.03</f>
        <v/>
      </c>
      <c r="J26" s="108">
        <f>I26/$N$7</f>
        <v/>
      </c>
      <c r="K26" s="851" t="n"/>
      <c r="L26" s="857" t="n"/>
      <c r="M26" s="154" t="n"/>
      <c r="O26" s="811" t="n"/>
      <c r="P26" s="812" t="n"/>
      <c r="Q26" s="854" t="n"/>
      <c r="R26" s="854" t="n"/>
      <c r="S26" s="854" t="n"/>
      <c r="T26" s="813" t="n"/>
      <c r="U26" s="854" t="n"/>
      <c r="V26" s="854" t="n"/>
      <c r="W26" s="854" t="n"/>
      <c r="X26" s="811" t="n"/>
      <c r="Y26" s="806" t="n"/>
      <c r="Z26" s="806" t="n"/>
      <c r="AA26" s="806" t="n"/>
    </row>
    <row r="27" ht="17.45" customHeight="1">
      <c r="A27" s="134" t="inlineStr">
        <is>
          <t>Water and Sewer</t>
        </is>
      </c>
      <c r="B27" s="127">
        <f>SUMIFS('Data Consolidation'!$D$43:$D$102,'Data Consolidation'!$A$43:$A$102,"Water and Sewer")</f>
        <v/>
      </c>
      <c r="C27" s="127">
        <f>SUMIFS('Data Consolidation'!$E$43:$E$102,'Data Consolidation'!$A$43:$A$102,"Water and Sewer")</f>
        <v/>
      </c>
      <c r="D27" s="127">
        <f>SUMIFS('Data Consolidation'!$G$43:$G$102,'Data Consolidation'!$A$43:$A$102,"Water and Sewer")</f>
        <v/>
      </c>
      <c r="E27" s="127">
        <f>SUMIFS('Data Consolidation'!$H$43:$H$102,'Data Consolidation'!$A$43:$A$102,"Water and Sewer")</f>
        <v/>
      </c>
      <c r="F27" s="127">
        <f>SUMIFS('Data Consolidation'!$F$43:$F$102,'Data Consolidation'!$A$43:$A$102,"Water and Sewer")</f>
        <v/>
      </c>
      <c r="G27" s="324">
        <f>I27</f>
        <v/>
      </c>
      <c r="H27" s="108">
        <f>I27</f>
        <v/>
      </c>
      <c r="I27" s="108">
        <f>D27*1.03</f>
        <v/>
      </c>
      <c r="J27" s="108">
        <f>I27/$N$7</f>
        <v/>
      </c>
      <c r="K27" s="851" t="n"/>
      <c r="L27" s="857" t="n"/>
      <c r="M27" s="154" t="n"/>
      <c r="O27" s="811" t="n"/>
      <c r="P27" s="812" t="n"/>
      <c r="Q27" s="854" t="n"/>
      <c r="R27" s="854" t="n"/>
      <c r="S27" s="854" t="n"/>
      <c r="T27" s="813" t="n"/>
      <c r="U27" s="854" t="n"/>
      <c r="V27" s="854" t="n"/>
      <c r="W27" s="854" t="n"/>
      <c r="X27" s="811" t="n"/>
      <c r="Y27" s="806" t="n"/>
      <c r="Z27" s="806" t="n"/>
      <c r="AA27" s="806" t="n"/>
    </row>
    <row r="28" ht="19.5" customHeight="1">
      <c r="A28" s="134" t="inlineStr">
        <is>
          <t>Trash Removal</t>
        </is>
      </c>
      <c r="B28" s="127">
        <f>SUMIFS('Data Consolidation'!$D$43:$D$102,'Data Consolidation'!$A$43:$A$102,"Trash Removal")</f>
        <v/>
      </c>
      <c r="C28" s="127">
        <f>SUMIFS('Data Consolidation'!$E$43:$E$102,'Data Consolidation'!$A$43:$A$102,"Trash Removal")</f>
        <v/>
      </c>
      <c r="D28" s="127">
        <f>SUMIFS('Data Consolidation'!$G$43:$G$102,'Data Consolidation'!$A$43:$A$102,"Trash Removal")</f>
        <v/>
      </c>
      <c r="E28" s="127">
        <f>SUMIFS('Data Consolidation'!$H$43:$H$102,'Data Consolidation'!$A$43:$A$102,"Trash Removal")</f>
        <v/>
      </c>
      <c r="F28" s="127">
        <f>SUMIFS('Data Consolidation'!$F$43:$F$102,'Data Consolidation'!$A$43:$A$102,"Trash Removal")</f>
        <v/>
      </c>
      <c r="G28" s="324">
        <f>I28</f>
        <v/>
      </c>
      <c r="H28" s="108">
        <f>I28</f>
        <v/>
      </c>
      <c r="I28" s="108">
        <f>D28*1.03</f>
        <v/>
      </c>
      <c r="J28" s="108">
        <f>I28/$N$7</f>
        <v/>
      </c>
      <c r="K28" s="851" t="n"/>
      <c r="L28" s="857" t="n"/>
      <c r="M28" s="154" t="n"/>
      <c r="O28" s="811" t="n"/>
      <c r="P28" s="812" t="n"/>
      <c r="Q28" s="854" t="n"/>
      <c r="R28" s="854" t="n"/>
      <c r="S28" s="854" t="n"/>
      <c r="T28" s="813" t="n"/>
      <c r="U28" s="854" t="n"/>
      <c r="V28" s="854" t="n"/>
      <c r="W28" s="854" t="n"/>
      <c r="X28" s="814" t="n"/>
      <c r="Y28" s="806" t="n"/>
      <c r="Z28" s="806" t="n"/>
      <c r="AA28" s="806"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I29/$N$7</f>
        <v/>
      </c>
      <c r="K29" s="858" t="n"/>
      <c r="L29" s="858" t="n"/>
      <c r="M29" s="633" t="inlineStr">
        <is>
          <t>per unit</t>
        </is>
      </c>
      <c r="O29" s="806" t="n"/>
      <c r="P29" s="806" t="n"/>
      <c r="Q29" s="806" t="n"/>
      <c r="R29" s="806" t="n"/>
      <c r="S29" s="806" t="n"/>
      <c r="T29" s="806" t="n"/>
      <c r="U29" s="806" t="n"/>
      <c r="V29" s="806" t="n"/>
      <c r="W29" s="806" t="n"/>
      <c r="X29" s="806" t="n"/>
      <c r="Y29" s="806" t="n"/>
      <c r="Z29" s="806" t="n"/>
      <c r="AA29" s="806" t="n"/>
    </row>
    <row r="30" ht="29.25" customHeight="1">
      <c r="A30" s="137" t="inlineStr">
        <is>
          <t xml:space="preserve">Repair and Maintenance </t>
        </is>
      </c>
      <c r="B30" s="136">
        <f>SUMIFS('Data Consolidation'!$D$43:$D$102,'Data Consolidation'!$A$43:$A$102,"Repair and Maintenance")</f>
        <v/>
      </c>
      <c r="C30" s="136">
        <f>SUMIFS('Data Consolidation'!$E$43:$E$102,'Data Consolidation'!$A$43:$A$102,"Repair and Maintenance")</f>
        <v/>
      </c>
      <c r="D30" s="127">
        <f>SUMIFS('Data Consolidation'!$G$43:$G$102,'Data Consolidation'!$A$43:$A$102,"Repair and Maintenance")</f>
        <v/>
      </c>
      <c r="E30" s="127">
        <f>SUMIFS('Data Consolidation'!$H$43:$H$102,'Data Consolidation'!$A$43:$A$102,"Repair and Maintenance")</f>
        <v/>
      </c>
      <c r="F30" s="127">
        <f>SUMIFS('Data Consolidation'!$F$43:$F$102,'Data Consolidation'!$A$43:$A$102,"Repair and Maintenance")</f>
        <v/>
      </c>
      <c r="G30" s="324">
        <f>I30</f>
        <v/>
      </c>
      <c r="H30" s="108">
        <f>I30</f>
        <v/>
      </c>
      <c r="I30" s="108">
        <f>J30*$N$7</f>
        <v/>
      </c>
      <c r="J30" s="108" t="n">
        <v>150</v>
      </c>
      <c r="K30" s="851" t="n"/>
      <c r="L30" s="857" t="n"/>
      <c r="M30" s="154" t="n"/>
      <c r="N30" s="243" t="n"/>
      <c r="O30" s="59" t="n"/>
      <c r="P30" s="59" t="n"/>
      <c r="Q30" s="59" t="n"/>
      <c r="R30" s="59" t="n"/>
    </row>
    <row r="31" ht="24" customHeight="1">
      <c r="A31" s="134" t="inlineStr">
        <is>
          <t>Ground Maintenance</t>
        </is>
      </c>
      <c r="B31" s="127">
        <f>SUMIFS('Data Consolidation'!$D$43:$D$102,'Data Consolidation'!$A$43:$A$102,"Ground Maintenance")</f>
        <v/>
      </c>
      <c r="C31" s="127">
        <f>SUMIFS('Data Consolidation'!$E$43:$E$102,'Data Consolidation'!$A$43:$A$102,"Ground Maintenance")</f>
        <v/>
      </c>
      <c r="D31" s="127">
        <f>SUMIFS('Data Consolidation'!$G$43:$G$102,'Data Consolidation'!$A$43:$A$102,"Ground Maintenance")</f>
        <v/>
      </c>
      <c r="E31" s="127">
        <f>SUMIFS('Data Consolidation'!$H$43:$H$102,'Data Consolidation'!$A$43:$A$102,"Ground Maintenance")</f>
        <v/>
      </c>
      <c r="F31" s="127">
        <f>SUMIFS('Data Consolidation'!$F$43:$F$102,'Data Consolidation'!$A$43:$A$102,"Ground Maintenance")</f>
        <v/>
      </c>
      <c r="G31" s="324">
        <f>I31</f>
        <v/>
      </c>
      <c r="H31" s="108">
        <f>I31</f>
        <v/>
      </c>
      <c r="I31" s="108">
        <f>D31*(100%+3%)</f>
        <v/>
      </c>
      <c r="J31" s="108">
        <f>I31/N7</f>
        <v/>
      </c>
      <c r="K31" s="851" t="n"/>
      <c r="L31" s="857" t="n"/>
      <c r="M31" s="154" t="n"/>
      <c r="O31" s="710" t="n"/>
      <c r="P31" s="59" t="n"/>
      <c r="Q31" s="59" t="n"/>
      <c r="R31" s="59" t="n"/>
    </row>
    <row r="32" ht="18" customHeight="1" thickBot="1">
      <c r="A32" s="134" t="inlineStr">
        <is>
          <t>Recreational Amenities</t>
        </is>
      </c>
      <c r="B32" s="127">
        <f>SUMIFS('Data Consolidation'!$D$43:$D$102,'Data Consolidation'!$A$43:$A$102,"Recreational Amenities")</f>
        <v/>
      </c>
      <c r="C32" s="127">
        <f>SUMIFS('Data Consolidation'!$E$43:$E$102,'Data Consolidation'!$A$43:$A$102,"Recreational Amenities")</f>
        <v/>
      </c>
      <c r="D32" s="127">
        <f>SUMIFS('Data Consolidation'!$G$43:$G$102,'Data Consolidation'!$A$43:$A$102,"Recreational Amenities")</f>
        <v/>
      </c>
      <c r="E32" s="127">
        <f>SUMIFS('Data Consolidation'!$H$43:$H$102,'Data Consolidation'!$A$43:$A$102,"Recreational Amenities")</f>
        <v/>
      </c>
      <c r="F32" s="127">
        <f>SUMIFS('Data Consolidation'!$F$43:$F$102,'Data Consolidation'!$A$43:$A$102,"Recreational Amenities")</f>
        <v/>
      </c>
      <c r="G32" s="324">
        <f>I32</f>
        <v/>
      </c>
      <c r="H32" s="108">
        <f>I32</f>
        <v/>
      </c>
      <c r="I32" s="108" t="n">
        <v>0</v>
      </c>
      <c r="J32" s="108">
        <f>I32/N7</f>
        <v/>
      </c>
      <c r="K32" s="851" t="n"/>
      <c r="L32" s="857" t="n"/>
      <c r="M32" s="260" t="n"/>
      <c r="O32" s="59" t="n"/>
      <c r="P32" s="59" t="n"/>
      <c r="Q32" s="59" t="n"/>
      <c r="R32" s="59" t="n"/>
    </row>
    <row r="33" ht="24" customHeight="1" thickBot="1">
      <c r="A33" s="134" t="inlineStr">
        <is>
          <t>Management Fee</t>
        </is>
      </c>
      <c r="B33" s="127">
        <f>SUMIFS('Data Consolidation'!$D$43:$D$102,'Data Consolidation'!$A$43:$A$102,"Management Fee")</f>
        <v/>
      </c>
      <c r="C33" s="127">
        <f>SUMIFS('Data Consolidation'!$E$43:$E$102,'Data Consolidation'!$A$43:$A$102,"Management Fee")</f>
        <v/>
      </c>
      <c r="D33" s="127">
        <f>SUMIFS('Data Consolidation'!$G$43:$G$102,'Data Consolidation'!$A$43:$A$102,"Management Fee")</f>
        <v/>
      </c>
      <c r="E33" s="127">
        <f>SUMIFS('Data Consolidation'!$H$43:$H$102,'Data Consolidation'!$A$43:$A$102,"Management Fee")</f>
        <v/>
      </c>
      <c r="F33" s="127">
        <f>SUMIFS('Data Consolidation'!$F$43:$F$102,'Data Consolidation'!$A$43:$A$102,"Management Fee")</f>
        <v/>
      </c>
      <c r="G33" s="254">
        <f>J33*G19</f>
        <v/>
      </c>
      <c r="H33" s="254">
        <f>J33*H19</f>
        <v/>
      </c>
      <c r="I33" s="254">
        <f>J33*I19</f>
        <v/>
      </c>
      <c r="J33" s="859" t="n">
        <v>0.05</v>
      </c>
      <c r="K33" s="706" t="n"/>
      <c r="L33" s="659" t="n"/>
      <c r="M33" s="274" t="n"/>
      <c r="O33" s="59" t="n"/>
      <c r="P33" s="59" t="n"/>
      <c r="Q33" s="59" t="n"/>
      <c r="R33" s="59"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c r="O34" s="59" t="n"/>
      <c r="P34" s="59" t="n"/>
      <c r="Q34" s="59" t="n"/>
      <c r="R34" s="59" t="n"/>
    </row>
    <row r="35" ht="23.25" customHeight="1">
      <c r="A35" s="134" t="inlineStr">
        <is>
          <t>Payroll</t>
        </is>
      </c>
      <c r="B35" s="127">
        <f>SUMIFS('Data Consolidation'!$D$43:$D$102,'Data Consolidation'!$A$43:$A$102,"Payroll")</f>
        <v/>
      </c>
      <c r="C35" s="127">
        <f>SUMIFS('Data Consolidation'!$E$43:$E$102,'Data Consolidation'!$A$43:$A$102,"Payroll")</f>
        <v/>
      </c>
      <c r="D35" s="127">
        <f>SUMIFS('Data Consolidation'!$G$43:$G$102,'Data Consolidation'!$A$43:$A$102,"Payroll")</f>
        <v/>
      </c>
      <c r="E35" s="127">
        <f>SUMIFS('Data Consolidation'!$H$43:$H$102,'Data Consolidation'!$A$43:$A$102,"Payroll")</f>
        <v/>
      </c>
      <c r="F35" s="130">
        <f>SUMIFS('Data Consolidation'!$F$43:$F$102,'Data Consolidation'!$A$43:$A$102,"Payroll")</f>
        <v/>
      </c>
      <c r="G35" s="324">
        <f>I35</f>
        <v/>
      </c>
      <c r="H35" s="324">
        <f>I35</f>
        <v/>
      </c>
      <c r="I35" s="324">
        <f>J35*N7</f>
        <v/>
      </c>
      <c r="J35" s="803" t="n">
        <v>600</v>
      </c>
      <c r="K35" s="851" t="n"/>
      <c r="L35" s="857" t="n"/>
      <c r="M35" s="154" t="n"/>
      <c r="O35" s="59" t="n"/>
      <c r="P35" s="59" t="n"/>
      <c r="Q35" s="59" t="n"/>
      <c r="R35" s="59" t="n"/>
    </row>
    <row r="36" ht="23.25" customHeight="1">
      <c r="A36" s="134" t="inlineStr">
        <is>
          <t>Employee Allowance</t>
        </is>
      </c>
      <c r="B36" s="127">
        <f>-SUMIFS('Data Consolidation'!$D$3:$D$36,'Data Consolidation'!$A$3:$A$36,"Employee Allowance (expense)")</f>
        <v/>
      </c>
      <c r="C36" s="127">
        <f>-SUMIFS('Data Consolidation'!$E$3:$E$36,'Data Consolidation'!$A$3:$A$36,"Employee Allowance (expense)")</f>
        <v/>
      </c>
      <c r="D36" s="127">
        <f>-SUMIFS('Data Consolidation'!$G$3:$G$36,'Data Consolidation'!$A$3:$A$36,"Employee Allowance (expense)")</f>
        <v/>
      </c>
      <c r="E36" s="127">
        <f>-SUMIFS('Data Consolidation'!$H$3:$H$36,'Data Consolidation'!$A$3:$A$36,"Employee Allowance (expense)")</f>
        <v/>
      </c>
      <c r="F36" s="130">
        <f>-SUMIFS('Data Consolidation'!$F$3:$F$36,'Data Consolidation'!$A$3:$A$36,"Employee Allowance (expense)")</f>
        <v/>
      </c>
      <c r="G36" s="324">
        <f>I36</f>
        <v/>
      </c>
      <c r="H36" s="108">
        <f>I36</f>
        <v/>
      </c>
      <c r="I36" s="324" t="n">
        <v>0</v>
      </c>
      <c r="J36" s="803">
        <f>I36/$N$7</f>
        <v/>
      </c>
      <c r="K36" s="851" t="n"/>
      <c r="L36" s="857" t="n"/>
      <c r="M36" s="154" t="n"/>
      <c r="O36" s="59" t="n"/>
      <c r="P36" s="59" t="n"/>
      <c r="Q36" s="59" t="n"/>
      <c r="R36" s="59" t="n"/>
    </row>
    <row r="37" ht="20.25" customHeight="1">
      <c r="A37" s="134" t="inlineStr">
        <is>
          <t>General and Administrative</t>
        </is>
      </c>
      <c r="B37" s="127">
        <f>SUMIFS('Data Consolidation'!$D$43:$D$102,'Data Consolidation'!$A$43:$A$102,"G&amp;A")</f>
        <v/>
      </c>
      <c r="C37" s="127">
        <f>SUMIFS('Data Consolidation'!$E$43:$E$102,'Data Consolidation'!$A$43:$A$102,"G&amp;A")</f>
        <v/>
      </c>
      <c r="D37" s="127">
        <f>SUMIFS('Data Consolidation'!$G$43:$G$102,'Data Consolidation'!$A$43:$A$102,"G&amp;A")</f>
        <v/>
      </c>
      <c r="E37" s="127">
        <f>SUMIFS('Data Consolidation'!$H$43:$H$102,'Data Consolidation'!$A$43:$A$102,"G&amp;A")</f>
        <v/>
      </c>
      <c r="F37" s="130">
        <f>SUMIFS('Data Consolidation'!$F$43:$F$102,'Data Consolidation'!$A$43:$A$102,"G&amp;A")</f>
        <v/>
      </c>
      <c r="G37" s="324">
        <f>I37</f>
        <v/>
      </c>
      <c r="H37" s="324">
        <f>I37</f>
        <v/>
      </c>
      <c r="I37" s="324">
        <f>D37*(100%+3%)</f>
        <v/>
      </c>
      <c r="J37" s="803">
        <f>I37/$N$7</f>
        <v/>
      </c>
      <c r="K37" s="851" t="n"/>
      <c r="L37" s="857" t="n"/>
      <c r="M37" s="154" t="n"/>
      <c r="O37" s="59" t="n"/>
      <c r="P37" s="59" t="n"/>
      <c r="Q37" s="59" t="n"/>
      <c r="R37" s="59" t="n"/>
    </row>
    <row r="38" ht="20.25" customHeight="1">
      <c r="A38" s="134" t="inlineStr">
        <is>
          <t>Model Units</t>
        </is>
      </c>
      <c r="B38" s="127">
        <f>-SUMIFS('Data Consolidation'!$D$3:$D$36,'Data Consolidation'!$A$3:$A$36,"Model Unit (expense)")</f>
        <v/>
      </c>
      <c r="C38" s="127">
        <f>-SUMIFS('Data Consolidation'!$E$3:$E$36,'Data Consolidation'!$A$3:$A$36,"Model Unit (expense)")</f>
        <v/>
      </c>
      <c r="D38" s="127">
        <f>-SUMIFS('Data Consolidation'!$G$3:$G$36,'Data Consolidation'!$A$3:$A$36,"Model Unit (expense)")</f>
        <v/>
      </c>
      <c r="E38" s="127">
        <f>-SUMIFS('Data Consolidation'!$H$3:$H$36,'Data Consolidation'!$A$3:$A$36,"Model Unit (expense)")</f>
        <v/>
      </c>
      <c r="F38" s="130">
        <f>-SUMIFS('Data Consolidation'!$F$3:$F$36,'Data Consolidation'!$A$3:$A$36,"Model Unit (expense)")</f>
        <v/>
      </c>
      <c r="G38" s="324">
        <f>I38</f>
        <v/>
      </c>
      <c r="H38" s="108">
        <f>I38</f>
        <v/>
      </c>
      <c r="I38" s="324" t="n">
        <v>0</v>
      </c>
      <c r="J38" s="803">
        <f>I38/$N$7</f>
        <v/>
      </c>
      <c r="K38" s="851" t="n"/>
      <c r="L38" s="857" t="n"/>
      <c r="M38" s="154" t="n"/>
      <c r="O38" s="59" t="n"/>
      <c r="P38" s="59" t="n"/>
      <c r="Q38" s="59" t="n"/>
      <c r="R38" s="59" t="n"/>
    </row>
    <row r="39" ht="20.25" customHeight="1">
      <c r="A39" s="134" t="inlineStr">
        <is>
          <t>Professional Fees</t>
        </is>
      </c>
      <c r="B39" s="127">
        <f>SUMIFS('Data Consolidation'!$D$43:$D$102,'Data Consolidation'!$A$43:$A$102,"Professional Fees")</f>
        <v/>
      </c>
      <c r="C39" s="127">
        <f>SUMIFS('Data Consolidation'!$E$43:$E$102,'Data Consolidation'!$A$43:$A$102,"Professional Fees")</f>
        <v/>
      </c>
      <c r="D39" s="127">
        <f>SUMIFS('Data Consolidation'!$G$43:$G$102,'Data Consolidation'!$A$43:$A$102,"Professional Fees")</f>
        <v/>
      </c>
      <c r="E39" s="127">
        <f>SUMIFS('Data Consolidation'!$H$43:$H$102,'Data Consolidation'!$A$43:$A$102,"Professional Fees")</f>
        <v/>
      </c>
      <c r="F39" s="130">
        <f>SUMIFS('Data Consolidation'!$F$43:$F$102,'Data Consolidation'!$A$43:$A$102,"Professional Fees")</f>
        <v/>
      </c>
      <c r="G39" s="324">
        <f>I39</f>
        <v/>
      </c>
      <c r="H39" s="108">
        <f>I39</f>
        <v/>
      </c>
      <c r="I39" s="324">
        <f>D39*1.03</f>
        <v/>
      </c>
      <c r="J39" s="803">
        <f>I39/$N$7</f>
        <v/>
      </c>
      <c r="K39" s="851" t="n"/>
      <c r="L39" s="857" t="n"/>
      <c r="M39" s="154" t="n"/>
      <c r="O39" s="59" t="n"/>
      <c r="P39" s="59" t="n"/>
      <c r="Q39" s="59" t="n"/>
      <c r="R39" s="59" t="n"/>
    </row>
    <row r="40" ht="20.25" customHeight="1">
      <c r="A40" s="134" t="inlineStr">
        <is>
          <t>Advertising</t>
        </is>
      </c>
      <c r="B40" s="127">
        <f>SUMIFS('Data Consolidation'!$D$43:$D$102,'Data Consolidation'!$A$43:$A$102,"Advertising")</f>
        <v/>
      </c>
      <c r="C40" s="127">
        <f>SUMIFS('Data Consolidation'!$E$43:$E$102,'Data Consolidation'!$A$43:$A$102,"Advertising")</f>
        <v/>
      </c>
      <c r="D40" s="127">
        <f>SUMIFS('Data Consolidation'!$G$43:$G$102,'Data Consolidation'!$A$43:$A$102,"Advertising")</f>
        <v/>
      </c>
      <c r="E40" s="127">
        <f>SUMIFS('Data Consolidation'!$H$43:$H$102,'Data Consolidation'!$A$43:$A$102,"Advertising")</f>
        <v/>
      </c>
      <c r="F40" s="130">
        <f>SUMIFS('Data Consolidation'!$F$43:$F$102,'Data Consolidation'!$A$43:$A$102,"Advertising")</f>
        <v/>
      </c>
      <c r="G40" s="324">
        <f>I40</f>
        <v/>
      </c>
      <c r="H40" s="108">
        <f>I40</f>
        <v/>
      </c>
      <c r="I40" s="324">
        <f>D40*1.03</f>
        <v/>
      </c>
      <c r="J40" s="803">
        <f>I40/$N$7</f>
        <v/>
      </c>
      <c r="K40" s="851" t="n"/>
      <c r="L40" s="857" t="n"/>
      <c r="M40" s="154" t="n"/>
      <c r="O40" s="59" t="n"/>
      <c r="P40" s="59" t="n"/>
      <c r="Q40" s="59" t="n"/>
      <c r="R40" s="59" t="n"/>
    </row>
    <row r="41" ht="20.25" customHeight="1">
      <c r="A41" s="134" t="inlineStr">
        <is>
          <t>Home Rent Expense (MH)</t>
        </is>
      </c>
      <c r="B41" s="127">
        <f>SUMIFS('Data Consolidation'!$D$43:$D$102,'Data Consolidation'!$A$43:$A$102,"Home Rent Expense")</f>
        <v/>
      </c>
      <c r="C41" s="127">
        <f>SUMIFS('Data Consolidation'!$E$43:$E$102,'Data Consolidation'!$A$43:$A$102,"Home Rent Expense")</f>
        <v/>
      </c>
      <c r="D41" s="127">
        <f>SUMIFS('Data Consolidation'!$G$43:$G$102,'Data Consolidation'!$A$43:$A$102,"Home Rent Expense")</f>
        <v/>
      </c>
      <c r="E41" s="127">
        <f>SUMIFS('Data Consolidation'!$H$43:$H$102,'Data Consolidation'!$A$43:$A$102,"Home Rent Expense")</f>
        <v/>
      </c>
      <c r="F41" s="130">
        <f>SUMIFS('Data Consolidation'!$F$43:$F$102,'Data Consolidation'!$A$43:$A$102,"Home Rent Expense")</f>
        <v/>
      </c>
      <c r="G41" s="324">
        <f>I41</f>
        <v/>
      </c>
      <c r="H41" s="108" t="n"/>
      <c r="I41" s="324">
        <f>15%*I13</f>
        <v/>
      </c>
      <c r="J41" s="803">
        <f>I41/$N$7</f>
        <v/>
      </c>
      <c r="K41" s="851" t="n"/>
      <c r="L41" s="857" t="n"/>
      <c r="M41" s="154" t="n"/>
      <c r="O41" s="59" t="n"/>
      <c r="P41" s="59" t="n"/>
      <c r="Q41" s="59" t="n"/>
      <c r="R41" s="59" t="n"/>
    </row>
    <row r="42" ht="20.25" customHeight="1" thickBot="1">
      <c r="A42" s="134" t="inlineStr">
        <is>
          <t>Other</t>
        </is>
      </c>
      <c r="B42" s="127">
        <f>SUMIFS('Data Consolidation'!$D$43:$D$102,'Data Consolidation'!$A$43:$A$102,"Other")</f>
        <v/>
      </c>
      <c r="C42" s="127">
        <f>SUMIFS('Data Consolidation'!$E$43:$E$102,'Data Consolidation'!$A$43:$A$102,"Other")</f>
        <v/>
      </c>
      <c r="D42" s="127">
        <f>SUMIFS('Data Consolidation'!$G$43:$G$102,'Data Consolidation'!$A$43:$A$102,"Other")</f>
        <v/>
      </c>
      <c r="E42" s="127">
        <f>SUMIFS('Data Consolidation'!$H$43:$H$102,'Data Consolidation'!$A$43:$A$102,"Other")</f>
        <v/>
      </c>
      <c r="F42" s="130">
        <f>SUMIFS('Data Consolidation'!$F$43:$F$102,'Data Consolidation'!$A$43:$A$102,"Other")</f>
        <v/>
      </c>
      <c r="G42" s="324">
        <f>I42</f>
        <v/>
      </c>
      <c r="H42" s="108">
        <f>I42</f>
        <v/>
      </c>
      <c r="I42" s="324" t="n">
        <v>0</v>
      </c>
      <c r="J42" s="803">
        <f>I42/$N$7</f>
        <v/>
      </c>
      <c r="K42" s="851" t="n"/>
      <c r="L42" s="857" t="n"/>
      <c r="M42" s="154" t="n"/>
      <c r="O42" s="59" t="n"/>
      <c r="P42" s="59" t="n"/>
      <c r="Q42" s="59" t="n"/>
      <c r="R42" s="59" t="n"/>
    </row>
    <row r="43" ht="20.25" customHeight="1" thickBot="1">
      <c r="A43" s="134" t="inlineStr">
        <is>
          <t>Cap-Ex Reserve</t>
        </is>
      </c>
      <c r="B43" s="127">
        <f>SUMIFS('Data Consolidation'!$D$43:$D$102,'Data Consolidation'!$A$43:$A$102,"Cap Ex")</f>
        <v/>
      </c>
      <c r="C43" s="127">
        <f>SUMIFS('Data Consolidation'!$E$43:$E$102,'Data Consolidation'!$A$43:$A$102,"Cap Ex")</f>
        <v/>
      </c>
      <c r="D43" s="127">
        <f>SUMIFS('Data Consolidation'!$G$43:$G$102,'Data Consolidation'!$A$43:$A$102,"Cap Ex")</f>
        <v/>
      </c>
      <c r="E43" s="127">
        <f>SUMIFS('Data Consolidation'!$H$43:$H$102,'Data Consolidation'!$A$43:$A$102,"Cap Ex")</f>
        <v/>
      </c>
      <c r="F43" s="130">
        <f>SUMIFS('Data Consolidation'!$F$43:$F$102,'Data Consolidation'!$A$43:$A$102,"Cap Ex")</f>
        <v/>
      </c>
      <c r="G43" s="324">
        <f>I43</f>
        <v/>
      </c>
      <c r="H43" s="108">
        <f>I43</f>
        <v/>
      </c>
      <c r="I43" s="108">
        <f>J43*$N$7</f>
        <v/>
      </c>
      <c r="J43" s="804" t="n">
        <v>75</v>
      </c>
      <c r="K43" s="860" t="n"/>
      <c r="L43" s="861" t="n"/>
      <c r="M43" s="154" t="n"/>
      <c r="O43" s="59" t="n"/>
      <c r="P43" s="59" t="n"/>
      <c r="Q43" s="59" t="n"/>
      <c r="R43" s="59"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I44/$N$7</f>
        <v/>
      </c>
      <c r="K44" s="856" t="n"/>
      <c r="L44" s="856" t="n"/>
      <c r="M44" s="633" t="inlineStr">
        <is>
          <t>per month</t>
        </is>
      </c>
      <c r="O44" s="59" t="n"/>
      <c r="P44" s="59" t="n"/>
      <c r="Q44" s="59" t="n"/>
      <c r="R44" s="59" t="n"/>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t="n"/>
      <c r="K45" s="856" t="n"/>
      <c r="L45" s="856" t="n"/>
      <c r="M45" s="633" t="inlineStr">
        <is>
          <t>per unit</t>
        </is>
      </c>
      <c r="O45" s="59" t="n"/>
      <c r="P45" s="59" t="n"/>
      <c r="Q45" s="59" t="n"/>
      <c r="R45" s="59" t="n"/>
    </row>
    <row r="46" ht="7.5" customHeight="1">
      <c r="A46" s="299" t="n"/>
      <c r="B46" s="289" t="n"/>
      <c r="C46" s="289" t="n"/>
      <c r="D46" s="289" t="n"/>
      <c r="E46" s="289" t="n"/>
      <c r="F46" s="289" t="n"/>
      <c r="G46" s="300" t="n"/>
      <c r="H46" s="300" t="n"/>
      <c r="I46" s="300" t="n"/>
      <c r="J46" s="318" t="n"/>
      <c r="K46" s="298" t="n"/>
      <c r="L46" s="298" t="n"/>
      <c r="M46" s="298" t="n"/>
      <c r="O46" s="59" t="n"/>
      <c r="P46" s="59" t="n"/>
      <c r="Q46" s="59" t="n"/>
      <c r="R46" s="59"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c r="O47" s="59" t="n"/>
      <c r="P47" s="59" t="n"/>
      <c r="Q47" s="59" t="n"/>
      <c r="R47" s="59"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c r="O48" s="59" t="n"/>
      <c r="P48" s="59" t="n"/>
      <c r="Q48" s="59" t="n"/>
      <c r="R48" s="59" t="n"/>
    </row>
    <row r="49" ht="9" customHeight="1" thickBot="1">
      <c r="A49" s="301" t="n"/>
      <c r="B49" s="302" t="n"/>
      <c r="C49" s="302" t="n"/>
      <c r="D49" s="302" t="n"/>
      <c r="E49" s="302" t="n"/>
      <c r="F49" s="302" t="n"/>
      <c r="G49" s="297" t="n"/>
      <c r="H49" s="297" t="n"/>
      <c r="I49" s="297" t="n"/>
      <c r="J49" s="668" t="n"/>
      <c r="K49" s="303" t="n"/>
      <c r="L49" s="303" t="n"/>
      <c r="M49" s="303" t="n"/>
      <c r="O49" s="59" t="n"/>
      <c r="P49" s="59" t="n"/>
      <c r="Q49" s="59" t="n"/>
      <c r="R49" s="59"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row r="173">
      <c r="O173" s="59" t="n"/>
      <c r="P173" s="59" t="n"/>
      <c r="Q173" s="59" t="n"/>
      <c r="R173" s="59" t="n"/>
    </row>
    <row r="174">
      <c r="O174" s="59" t="n"/>
      <c r="P174" s="59" t="n"/>
      <c r="Q174" s="59" t="n"/>
      <c r="R174" s="59" t="n"/>
    </row>
    <row r="175">
      <c r="O175" s="59" t="n"/>
      <c r="P175" s="59" t="n"/>
      <c r="Q175" s="59" t="n"/>
      <c r="R175" s="59" t="n"/>
    </row>
    <row r="176">
      <c r="O176" s="59" t="n"/>
      <c r="P176" s="59" t="n"/>
      <c r="Q176" s="59" t="n"/>
      <c r="R176" s="59" t="n"/>
    </row>
    <row r="177">
      <c r="O177" s="59" t="n"/>
      <c r="P177" s="59" t="n"/>
      <c r="Q177" s="59" t="n"/>
      <c r="R177" s="59" t="n"/>
    </row>
    <row r="178">
      <c r="O178" s="59" t="n"/>
      <c r="P178" s="59" t="n"/>
      <c r="Q178" s="59" t="n"/>
      <c r="R178" s="59" t="n"/>
    </row>
    <row r="179">
      <c r="O179" s="59" t="n"/>
      <c r="P179" s="59" t="n"/>
      <c r="Q179" s="59" t="n"/>
      <c r="R179" s="59" t="n"/>
    </row>
    <row r="180">
      <c r="O180" s="59" t="n"/>
      <c r="P180" s="59" t="n"/>
      <c r="Q180" s="59" t="n"/>
      <c r="R180" s="59" t="n"/>
    </row>
    <row r="181">
      <c r="O181" s="59" t="n"/>
      <c r="P181" s="59" t="n"/>
      <c r="Q181" s="59" t="n"/>
      <c r="R181" s="59" t="n"/>
    </row>
    <row r="182">
      <c r="O182" s="59" t="n"/>
      <c r="P182" s="59" t="n"/>
      <c r="Q182" s="59" t="n"/>
      <c r="R182" s="59" t="n"/>
    </row>
    <row r="183">
      <c r="O183" s="59" t="n"/>
      <c r="P183" s="59" t="n"/>
      <c r="Q183" s="59" t="n"/>
      <c r="R183" s="59" t="n"/>
    </row>
    <row r="184">
      <c r="O184" s="59" t="n"/>
      <c r="P184" s="59" t="n"/>
      <c r="Q184" s="59" t="n"/>
      <c r="R184" s="59" t="n"/>
    </row>
    <row r="185">
      <c r="O185" s="59" t="n"/>
      <c r="P185" s="59" t="n"/>
      <c r="Q185" s="59" t="n"/>
      <c r="R185" s="59" t="n"/>
    </row>
    <row r="186">
      <c r="O186" s="59" t="n"/>
      <c r="P186" s="59" t="n"/>
      <c r="Q186" s="59" t="n"/>
      <c r="R186" s="59" t="n"/>
    </row>
    <row r="187">
      <c r="O187" s="59" t="n"/>
      <c r="P187" s="59" t="n"/>
      <c r="Q187" s="59" t="n"/>
      <c r="R187" s="59" t="n"/>
    </row>
    <row r="188">
      <c r="O188" s="59" t="n"/>
      <c r="P188" s="59" t="n"/>
      <c r="Q188" s="59" t="n"/>
      <c r="R188" s="59" t="n"/>
    </row>
    <row r="189">
      <c r="O189" s="59" t="n"/>
      <c r="P189" s="59" t="n"/>
      <c r="Q189" s="59" t="n"/>
      <c r="R189" s="59" t="n"/>
    </row>
    <row r="190">
      <c r="O190" s="59" t="n"/>
      <c r="P190" s="59" t="n"/>
      <c r="Q190" s="59" t="n"/>
      <c r="R190" s="59" t="n"/>
    </row>
    <row r="191">
      <c r="O191" s="59" t="n"/>
      <c r="P191" s="59" t="n"/>
      <c r="Q191" s="59" t="n"/>
      <c r="R191" s="59" t="n"/>
    </row>
    <row r="192">
      <c r="O192" s="59" t="n"/>
      <c r="P192" s="59" t="n"/>
      <c r="Q192" s="59" t="n"/>
      <c r="R192" s="59" t="n"/>
    </row>
    <row r="193">
      <c r="O193" s="59" t="n"/>
      <c r="P193" s="59" t="n"/>
      <c r="Q193" s="59" t="n"/>
      <c r="R193" s="59" t="n"/>
    </row>
    <row r="194">
      <c r="O194" s="59" t="n"/>
      <c r="P194" s="59" t="n"/>
      <c r="Q194" s="59" t="n"/>
      <c r="R194" s="59" t="n"/>
    </row>
    <row r="195">
      <c r="O195" s="59" t="n"/>
      <c r="P195" s="59" t="n"/>
      <c r="Q195" s="59" t="n"/>
      <c r="R195" s="59" t="n"/>
    </row>
    <row r="196">
      <c r="O196" s="59" t="n"/>
      <c r="P196" s="59" t="n"/>
      <c r="Q196" s="59" t="n"/>
      <c r="R196" s="59" t="n"/>
    </row>
    <row r="197">
      <c r="O197" s="59" t="n"/>
      <c r="P197" s="59" t="n"/>
      <c r="Q197" s="59" t="n"/>
      <c r="R197" s="59" t="n"/>
    </row>
    <row r="198">
      <c r="O198" s="59" t="n"/>
      <c r="P198" s="59" t="n"/>
      <c r="Q198" s="59" t="n"/>
      <c r="R198" s="59" t="n"/>
    </row>
    <row r="199">
      <c r="O199" s="59" t="n"/>
      <c r="P199" s="59" t="n"/>
      <c r="Q199" s="59" t="n"/>
      <c r="R199" s="59" t="n"/>
    </row>
    <row r="200">
      <c r="O200" s="59" t="n"/>
      <c r="P200" s="59" t="n"/>
      <c r="Q200" s="59" t="n"/>
      <c r="R200" s="59" t="n"/>
    </row>
    <row r="201">
      <c r="O201" s="59" t="n"/>
      <c r="P201" s="59" t="n"/>
      <c r="Q201" s="59" t="n"/>
      <c r="R201" s="59" t="n"/>
    </row>
    <row r="202">
      <c r="O202" s="59" t="n"/>
      <c r="P202" s="59" t="n"/>
      <c r="Q202" s="59" t="n"/>
      <c r="R202" s="59" t="n"/>
    </row>
    <row r="203">
      <c r="O203" s="59" t="n"/>
      <c r="P203" s="59" t="n"/>
      <c r="Q203" s="59" t="n"/>
      <c r="R203" s="59" t="n"/>
    </row>
    <row r="204">
      <c r="O204" s="59" t="n"/>
      <c r="P204" s="59" t="n"/>
      <c r="Q204" s="59" t="n"/>
      <c r="R204" s="59" t="n"/>
    </row>
    <row r="205">
      <c r="O205" s="59" t="n"/>
      <c r="P205" s="59" t="n"/>
      <c r="Q205" s="59" t="n"/>
      <c r="R205" s="59" t="n"/>
    </row>
    <row r="206">
      <c r="O206" s="59" t="n"/>
      <c r="P206" s="59" t="n"/>
      <c r="Q206" s="59" t="n"/>
      <c r="R206" s="59" t="n"/>
    </row>
    <row r="207">
      <c r="O207" s="59" t="n"/>
      <c r="P207" s="59" t="n"/>
      <c r="Q207" s="59" t="n"/>
      <c r="R207" s="59" t="n"/>
    </row>
    <row r="208">
      <c r="O208" s="59" t="n"/>
      <c r="P208" s="59" t="n"/>
      <c r="Q208" s="59" t="n"/>
      <c r="R208" s="59" t="n"/>
    </row>
    <row r="209">
      <c r="O209" s="59" t="n"/>
      <c r="P209" s="59" t="n"/>
      <c r="Q209" s="59" t="n"/>
      <c r="R209" s="59" t="n"/>
    </row>
    <row r="210">
      <c r="O210" s="59" t="n"/>
      <c r="P210" s="59" t="n"/>
      <c r="Q210" s="59" t="n"/>
      <c r="R210" s="59" t="n"/>
    </row>
    <row r="211">
      <c r="O211" s="59" t="n"/>
      <c r="P211" s="59" t="n"/>
      <c r="Q211" s="59" t="n"/>
      <c r="R211" s="59" t="n"/>
    </row>
    <row r="212">
      <c r="O212" s="59" t="n"/>
      <c r="P212" s="59" t="n"/>
      <c r="Q212" s="59" t="n"/>
      <c r="R212" s="59" t="n"/>
    </row>
    <row r="213">
      <c r="O213" s="59" t="n"/>
      <c r="P213" s="59" t="n"/>
      <c r="Q213" s="59" t="n"/>
      <c r="R213" s="59" t="n"/>
    </row>
    <row r="214">
      <c r="O214" s="59" t="n"/>
      <c r="P214" s="59" t="n"/>
      <c r="Q214" s="59" t="n"/>
      <c r="R214" s="59" t="n"/>
    </row>
    <row r="215">
      <c r="O215" s="59" t="n"/>
      <c r="P215" s="59" t="n"/>
      <c r="Q215" s="59" t="n"/>
      <c r="R215" s="59" t="n"/>
    </row>
    <row r="216">
      <c r="O216" s="59" t="n"/>
      <c r="P216" s="59" t="n"/>
      <c r="Q216" s="59" t="n"/>
      <c r="R216" s="59" t="n"/>
    </row>
    <row r="217">
      <c r="O217" s="59" t="n"/>
      <c r="P217" s="59" t="n"/>
      <c r="Q217" s="59" t="n"/>
      <c r="R217" s="59" t="n"/>
    </row>
    <row r="218">
      <c r="O218" s="59" t="n"/>
      <c r="P218" s="59" t="n"/>
      <c r="Q218" s="59" t="n"/>
      <c r="R218" s="59" t="n"/>
    </row>
    <row r="219">
      <c r="O219" s="59" t="n"/>
      <c r="P219" s="59" t="n"/>
      <c r="Q219" s="59" t="n"/>
      <c r="R219" s="59" t="n"/>
    </row>
    <row r="220">
      <c r="O220" s="59" t="n"/>
      <c r="P220" s="59" t="n"/>
      <c r="Q220" s="59" t="n"/>
      <c r="R220" s="59" t="n"/>
    </row>
    <row r="221">
      <c r="O221" s="59" t="n"/>
      <c r="P221" s="59" t="n"/>
      <c r="Q221" s="59" t="n"/>
      <c r="R221" s="59" t="n"/>
    </row>
    <row r="222">
      <c r="O222" s="59" t="n"/>
      <c r="P222" s="59" t="n"/>
      <c r="Q222" s="59" t="n"/>
      <c r="R222" s="59" t="n"/>
    </row>
    <row r="223">
      <c r="O223" s="59" t="n"/>
      <c r="P223" s="59" t="n"/>
      <c r="Q223" s="59" t="n"/>
      <c r="R223" s="59" t="n"/>
    </row>
    <row r="224">
      <c r="O224" s="59" t="n"/>
      <c r="P224" s="59" t="n"/>
      <c r="Q224" s="59" t="n"/>
      <c r="R224" s="59" t="n"/>
    </row>
    <row r="225">
      <c r="O225" s="59" t="n"/>
      <c r="P225" s="59" t="n"/>
      <c r="Q225" s="59" t="n"/>
      <c r="R225" s="59" t="n"/>
    </row>
    <row r="226">
      <c r="O226" s="59" t="n"/>
      <c r="P226" s="59" t="n"/>
      <c r="Q226" s="59" t="n"/>
      <c r="R226" s="59" t="n"/>
    </row>
    <row r="227">
      <c r="O227" s="59" t="n"/>
      <c r="P227" s="59" t="n"/>
      <c r="Q227" s="59" t="n"/>
      <c r="R227" s="59" t="n"/>
    </row>
    <row r="228">
      <c r="O228" s="59" t="n"/>
      <c r="P228" s="59" t="n"/>
      <c r="Q228" s="59" t="n"/>
      <c r="R228" s="59" t="n"/>
    </row>
    <row r="229">
      <c r="O229" s="59" t="n"/>
      <c r="P229" s="59" t="n"/>
      <c r="Q229" s="59" t="n"/>
      <c r="R229" s="59" t="n"/>
    </row>
    <row r="230">
      <c r="O230" s="59" t="n"/>
      <c r="P230" s="59" t="n"/>
      <c r="Q230" s="59" t="n"/>
      <c r="R230" s="59" t="n"/>
    </row>
    <row r="231">
      <c r="O231" s="59" t="n"/>
      <c r="P231" s="59" t="n"/>
      <c r="Q231" s="59" t="n"/>
      <c r="R231" s="59" t="n"/>
    </row>
    <row r="232">
      <c r="O232" s="59" t="n"/>
      <c r="P232" s="59" t="n"/>
      <c r="Q232" s="59" t="n"/>
      <c r="R232" s="59" t="n"/>
    </row>
    <row r="233">
      <c r="O233" s="59" t="n"/>
      <c r="P233" s="59" t="n"/>
      <c r="Q233" s="59" t="n"/>
      <c r="R233" s="59" t="n"/>
    </row>
    <row r="234">
      <c r="O234" s="59" t="n"/>
      <c r="P234" s="59" t="n"/>
      <c r="Q234" s="59" t="n"/>
      <c r="R234" s="59" t="n"/>
    </row>
    <row r="235">
      <c r="O235" s="59" t="n"/>
      <c r="P235" s="59" t="n"/>
      <c r="Q235" s="59" t="n"/>
      <c r="R235" s="59" t="n"/>
    </row>
    <row r="236">
      <c r="O236" s="59" t="n"/>
      <c r="P236" s="59" t="n"/>
      <c r="Q236" s="59" t="n"/>
      <c r="R236" s="59" t="n"/>
    </row>
    <row r="237">
      <c r="O237" s="59" t="n"/>
      <c r="P237" s="59" t="n"/>
      <c r="Q237" s="59" t="n"/>
      <c r="R237" s="59" t="n"/>
    </row>
    <row r="238">
      <c r="O238" s="59" t="n"/>
      <c r="P238" s="59" t="n"/>
      <c r="Q238" s="59" t="n"/>
      <c r="R238" s="59" t="n"/>
    </row>
    <row r="239">
      <c r="O239" s="59" t="n"/>
      <c r="P239" s="59" t="n"/>
      <c r="Q239" s="59" t="n"/>
      <c r="R239" s="59" t="n"/>
    </row>
    <row r="240">
      <c r="O240" s="59" t="n"/>
      <c r="P240" s="59" t="n"/>
      <c r="Q240" s="59" t="n"/>
      <c r="R240" s="59" t="n"/>
    </row>
    <row r="241">
      <c r="O241" s="59" t="n"/>
      <c r="P241" s="59" t="n"/>
      <c r="Q241" s="59" t="n"/>
      <c r="R241" s="59" t="n"/>
    </row>
    <row r="242">
      <c r="O242" s="59" t="n"/>
      <c r="P242" s="59" t="n"/>
      <c r="Q242" s="59" t="n"/>
      <c r="R242" s="59" t="n"/>
    </row>
    <row r="243">
      <c r="O243" s="59" t="n"/>
      <c r="P243" s="59" t="n"/>
      <c r="Q243" s="59" t="n"/>
      <c r="R243" s="59" t="n"/>
    </row>
    <row r="244">
      <c r="O244" s="59" t="n"/>
      <c r="P244" s="59" t="n"/>
      <c r="Q244" s="59" t="n"/>
      <c r="R244" s="59" t="n"/>
    </row>
    <row r="245">
      <c r="O245" s="59" t="n"/>
      <c r="P245" s="59" t="n"/>
      <c r="Q245" s="59" t="n"/>
      <c r="R245" s="59" t="n"/>
    </row>
    <row r="246">
      <c r="O246" s="59" t="n"/>
      <c r="P246" s="59" t="n"/>
      <c r="Q246" s="59" t="n"/>
      <c r="R246" s="59" t="n"/>
    </row>
    <row r="247">
      <c r="O247" s="59" t="n"/>
      <c r="P247" s="59" t="n"/>
      <c r="Q247" s="59" t="n"/>
      <c r="R247" s="59" t="n"/>
    </row>
    <row r="248">
      <c r="O248" s="59" t="n"/>
      <c r="P248" s="59" t="n"/>
      <c r="Q248" s="59" t="n"/>
      <c r="R248" s="59" t="n"/>
    </row>
    <row r="249">
      <c r="O249" s="59" t="n"/>
      <c r="P249" s="59" t="n"/>
      <c r="Q249" s="59" t="n"/>
      <c r="R249" s="59" t="n"/>
    </row>
    <row r="250">
      <c r="O250" s="59" t="n"/>
      <c r="P250" s="59" t="n"/>
      <c r="Q250" s="59" t="n"/>
      <c r="R250" s="59" t="n"/>
    </row>
    <row r="251">
      <c r="O251" s="59" t="n"/>
      <c r="P251" s="59" t="n"/>
      <c r="Q251" s="59" t="n"/>
      <c r="R251" s="59" t="n"/>
    </row>
    <row r="252">
      <c r="O252" s="59" t="n"/>
      <c r="P252" s="59" t="n"/>
      <c r="Q252" s="59" t="n"/>
      <c r="R252" s="59" t="n"/>
    </row>
    <row r="253">
      <c r="O253" s="59" t="n"/>
      <c r="P253" s="59" t="n"/>
      <c r="Q253" s="59" t="n"/>
      <c r="R253" s="59" t="n"/>
    </row>
    <row r="254">
      <c r="O254" s="59" t="n"/>
      <c r="P254" s="59" t="n"/>
      <c r="Q254" s="59" t="n"/>
      <c r="R254" s="59" t="n"/>
    </row>
    <row r="255">
      <c r="O255" s="59" t="n"/>
      <c r="P255" s="59" t="n"/>
      <c r="Q255" s="59" t="n"/>
      <c r="R255" s="59" t="n"/>
    </row>
    <row r="256">
      <c r="O256" s="59" t="n"/>
      <c r="P256" s="59" t="n"/>
      <c r="Q256" s="59" t="n"/>
      <c r="R256" s="59" t="n"/>
    </row>
    <row r="257">
      <c r="O257" s="59" t="n"/>
      <c r="P257" s="59" t="n"/>
      <c r="Q257" s="59" t="n"/>
      <c r="R257" s="59" t="n"/>
    </row>
    <row r="258">
      <c r="O258" s="59" t="n"/>
      <c r="P258" s="59" t="n"/>
      <c r="Q258" s="59" t="n"/>
      <c r="R258" s="59" t="n"/>
    </row>
    <row r="259">
      <c r="O259" s="59" t="n"/>
      <c r="P259" s="59" t="n"/>
      <c r="Q259" s="59" t="n"/>
      <c r="R259" s="59" t="n"/>
    </row>
    <row r="260">
      <c r="O260" s="59" t="n"/>
      <c r="P260" s="59" t="n"/>
      <c r="Q260" s="59" t="n"/>
      <c r="R260" s="59" t="n"/>
    </row>
    <row r="261">
      <c r="O261" s="59" t="n"/>
      <c r="P261" s="59" t="n"/>
      <c r="Q261" s="59" t="n"/>
      <c r="R261" s="59" t="n"/>
    </row>
    <row r="262">
      <c r="O262" s="59" t="n"/>
      <c r="P262" s="59" t="n"/>
      <c r="Q262" s="59" t="n"/>
      <c r="R262" s="59" t="n"/>
    </row>
    <row r="263">
      <c r="O263" s="59" t="n"/>
      <c r="P263" s="59" t="n"/>
      <c r="Q263" s="59" t="n"/>
      <c r="R263" s="59" t="n"/>
    </row>
    <row r="264">
      <c r="O264" s="59" t="n"/>
      <c r="P264" s="59" t="n"/>
      <c r="Q264" s="59" t="n"/>
      <c r="R264" s="59" t="n"/>
    </row>
    <row r="265">
      <c r="O265" s="59" t="n"/>
      <c r="P265" s="59" t="n"/>
      <c r="Q265" s="59" t="n"/>
      <c r="R265" s="59" t="n"/>
    </row>
    <row r="266">
      <c r="O266" s="59" t="n"/>
      <c r="P266" s="59" t="n"/>
      <c r="Q266" s="59" t="n"/>
      <c r="R266" s="59" t="n"/>
    </row>
    <row r="267">
      <c r="O267" s="59" t="n"/>
      <c r="P267" s="59" t="n"/>
      <c r="Q267" s="59" t="n"/>
      <c r="R267" s="59" t="n"/>
    </row>
    <row r="268">
      <c r="O268" s="59" t="n"/>
      <c r="P268" s="59" t="n"/>
      <c r="Q268" s="59" t="n"/>
      <c r="R268" s="59" t="n"/>
    </row>
    <row r="269">
      <c r="O269" s="59" t="n"/>
      <c r="P269" s="59" t="n"/>
      <c r="Q269" s="59" t="n"/>
      <c r="R269" s="59" t="n"/>
    </row>
    <row r="270">
      <c r="O270" s="59" t="n"/>
      <c r="P270" s="59" t="n"/>
      <c r="Q270" s="59" t="n"/>
      <c r="R270" s="59" t="n"/>
    </row>
    <row r="271">
      <c r="O271" s="59" t="n"/>
      <c r="P271" s="59" t="n"/>
      <c r="Q271" s="59" t="n"/>
      <c r="R271" s="59" t="n"/>
    </row>
    <row r="272">
      <c r="O272" s="59" t="n"/>
      <c r="P272" s="59" t="n"/>
      <c r="Q272" s="59" t="n"/>
      <c r="R272" s="59" t="n"/>
    </row>
    <row r="273">
      <c r="O273" s="59" t="n"/>
      <c r="P273" s="59" t="n"/>
      <c r="Q273" s="59" t="n"/>
      <c r="R273" s="59" t="n"/>
    </row>
    <row r="274">
      <c r="O274" s="59" t="n"/>
      <c r="P274" s="59" t="n"/>
      <c r="Q274" s="59" t="n"/>
      <c r="R274" s="59" t="n"/>
    </row>
    <row r="275">
      <c r="O275" s="59" t="n"/>
      <c r="P275" s="59" t="n"/>
      <c r="Q275" s="59" t="n"/>
      <c r="R275" s="59" t="n"/>
    </row>
    <row r="276">
      <c r="O276" s="59" t="n"/>
      <c r="P276" s="59" t="n"/>
      <c r="Q276" s="59" t="n"/>
      <c r="R276" s="59" t="n"/>
    </row>
    <row r="277">
      <c r="O277" s="59" t="n"/>
      <c r="P277" s="59" t="n"/>
      <c r="Q277" s="59" t="n"/>
      <c r="R277" s="59" t="n"/>
    </row>
    <row r="278">
      <c r="O278" s="59" t="n"/>
      <c r="P278" s="59" t="n"/>
      <c r="Q278" s="59" t="n"/>
      <c r="R278" s="59"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Underwriting'!$N$7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Underwriting'!$N$7</f>
        <v/>
      </c>
      <c r="H19" s="540">
        <f>75%*H33</f>
        <v/>
      </c>
      <c r="I19" s="151">
        <f>75%*I33</f>
        <v/>
      </c>
      <c r="J19" s="151">
        <f>75%*J33</f>
        <v/>
      </c>
      <c r="K19" s="541">
        <f>75%*K33</f>
        <v/>
      </c>
      <c r="L19" s="151">
        <f>75%*L33</f>
        <v/>
      </c>
      <c r="M19" s="151">
        <f>75%*M33</f>
        <v/>
      </c>
      <c r="N19" s="541">
        <f>75%*N33</f>
        <v/>
      </c>
      <c r="O19" s="541">
        <f>75%*O33</f>
        <v/>
      </c>
      <c r="P19" s="541">
        <f>75%*P33</f>
        <v/>
      </c>
      <c r="Q19" s="54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571" t="n"/>
      <c r="U20" s="571" t="n"/>
      <c r="V20" s="571" t="n"/>
      <c r="W20" s="571" t="n"/>
      <c r="X20" s="635" t="n">
        <v>0.065</v>
      </c>
      <c r="Y20" s="636" t="n"/>
      <c r="Z20" s="637" t="n"/>
      <c r="AA20" s="614" t="n"/>
      <c r="AB20" s="614" t="n"/>
      <c r="AC20" s="614" t="n"/>
    </row>
    <row r="21" ht="16.5" customHeight="1" thickBot="1">
      <c r="A21" s="59" t="n"/>
      <c r="B21" s="59" t="n"/>
      <c r="C21" s="538" t="inlineStr">
        <is>
          <t>Long term RV Site</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0.14</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v>0.15</v>
      </c>
      <c r="C47" s="538" t="inlineStr">
        <is>
          <t>Home Rent Expense</t>
        </is>
      </c>
      <c r="D47" s="151">
        <f>'GGC Underwriting'!D41</f>
        <v/>
      </c>
      <c r="E47" s="151">
        <f>'GGC Underwriting'!E41</f>
        <v/>
      </c>
      <c r="F47" s="541">
        <f>'GGC Underwriting'!I41</f>
        <v/>
      </c>
      <c r="G47" s="541">
        <f>F47/'GGC Underwriting'!$N$7</f>
        <v/>
      </c>
      <c r="H47" s="540">
        <f>$B$47*H20</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Refi Cashout</t>
        </is>
      </c>
      <c r="G62" s="203" t="n"/>
      <c r="H62" s="894" t="n"/>
      <c r="I62" s="894" t="n"/>
      <c r="J62" s="386" t="n"/>
      <c r="K62" s="894" t="n"/>
      <c r="L62" s="894" t="n"/>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24" t="n"/>
      <c r="U63" s="124" t="n"/>
      <c r="V63" s="124" t="n"/>
      <c r="W63" s="124" t="n"/>
      <c r="X63" s="124" t="n"/>
      <c r="Y63" s="124" t="n"/>
      <c r="Z63" s="124" t="n"/>
      <c r="AA63" s="124" t="n"/>
      <c r="AB63" s="124" t="n"/>
      <c r="AC63" s="124"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24" t="n"/>
      <c r="U64" s="124" t="n"/>
      <c r="V64" s="124" t="n"/>
      <c r="W64" s="124" t="n"/>
      <c r="X64" s="124" t="n"/>
      <c r="Y64" s="124" t="n"/>
      <c r="Z64" s="124" t="n"/>
      <c r="AA64" s="124" t="n"/>
      <c r="AB64" s="124" t="n"/>
      <c r="AC64" s="124" t="n"/>
    </row>
    <row r="65" customFormat="1" s="59">
      <c r="F65" s="605" t="inlineStr">
        <is>
          <t xml:space="preserve">Free Cash Flow </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24" t="n"/>
      <c r="U65" s="124" t="n"/>
      <c r="V65" s="124" t="n"/>
      <c r="W65" s="124" t="n"/>
      <c r="X65" s="124" t="n"/>
      <c r="Y65" s="124" t="n"/>
      <c r="Z65" s="124" t="n"/>
      <c r="AA65" s="124" t="n"/>
      <c r="AB65" s="124" t="n"/>
      <c r="AC65" s="124"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24" t="n"/>
      <c r="U66" s="124" t="n"/>
      <c r="V66" s="124" t="n"/>
      <c r="W66" s="124" t="n"/>
      <c r="X66" s="124" t="n"/>
      <c r="Y66" s="124" t="n"/>
      <c r="Z66" s="124" t="n"/>
      <c r="AA66" s="124" t="n"/>
      <c r="AB66" s="124" t="n"/>
      <c r="AC66" s="124" t="n"/>
    </row>
    <row r="67" customFormat="1" s="59">
      <c r="G67" s="203" t="n"/>
      <c r="H67" s="386" t="n"/>
      <c r="I67" s="386" t="n"/>
      <c r="J67" s="386" t="n"/>
      <c r="K67" s="386" t="n"/>
      <c r="L67" s="386" t="n"/>
      <c r="M67" s="386" t="n"/>
      <c r="N67" s="386" t="n"/>
      <c r="O67" s="386" t="n"/>
      <c r="P67" s="386" t="n"/>
      <c r="Q67" s="386" t="n"/>
      <c r="T67" s="124" t="n"/>
      <c r="U67" s="124" t="n"/>
      <c r="V67" s="124" t="n"/>
      <c r="W67" s="124" t="n"/>
      <c r="X67" s="124" t="n"/>
      <c r="Y67" s="124" t="n"/>
      <c r="Z67" s="124" t="n"/>
      <c r="AA67" s="124" t="n"/>
      <c r="AB67" s="124" t="n"/>
      <c r="AC67" s="124" t="n"/>
    </row>
    <row r="68" hidden="1" customFormat="1" s="59">
      <c r="E68" s="144" t="inlineStr">
        <is>
          <t>7 Year</t>
        </is>
      </c>
      <c r="F68" s="597" t="inlineStr">
        <is>
          <t>Debt Service</t>
        </is>
      </c>
      <c r="G68" s="598" t="n"/>
      <c r="H68" s="892" t="n">
        <v>-655388.0414434674</v>
      </c>
      <c r="I68" s="892" t="n">
        <v>-773882.1830615384</v>
      </c>
      <c r="J68" s="892" t="n">
        <v>-773882.1830615385</v>
      </c>
      <c r="K68" s="892" t="n">
        <v>-774628.2119979195</v>
      </c>
      <c r="L68" s="892" t="n">
        <v>-773882.1830615384</v>
      </c>
      <c r="M68" s="892" t="n">
        <v>-773882.1830615384</v>
      </c>
      <c r="N68" s="893" t="n">
        <v>-773882.1830615384</v>
      </c>
      <c r="O68" s="894" t="n"/>
      <c r="P68" s="894" t="n"/>
      <c r="Q68" s="894" t="n"/>
      <c r="T68" s="124" t="n"/>
      <c r="U68" s="124" t="n"/>
      <c r="V68" s="124" t="n"/>
      <c r="W68" s="124" t="n"/>
      <c r="X68" s="124" t="n"/>
      <c r="Y68" s="124" t="n"/>
      <c r="Z68" s="124" t="n"/>
      <c r="AA68" s="124" t="n"/>
      <c r="AB68" s="124" t="n"/>
      <c r="AC68" s="124" t="n"/>
    </row>
    <row r="69" hidden="1" ht="15.75" customFormat="1" customHeight="1" s="59">
      <c r="F69" s="601" t="inlineStr">
        <is>
          <t>Debt Payoff</t>
        </is>
      </c>
      <c r="G69" s="203" t="n"/>
      <c r="H69" s="894" t="n"/>
      <c r="I69" s="894" t="n"/>
      <c r="J69" s="894" t="n"/>
      <c r="K69" s="894" t="n"/>
      <c r="L69" s="894" t="n"/>
      <c r="M69" s="894" t="n"/>
      <c r="N69" s="895" t="n">
        <v>-9833889.283336487</v>
      </c>
      <c r="O69" s="894" t="n"/>
      <c r="P69" s="894" t="n"/>
      <c r="Q69" s="894" t="n"/>
      <c r="T69" s="124" t="n"/>
      <c r="U69" s="124" t="n"/>
      <c r="V69" s="124" t="n"/>
      <c r="W69" s="124" t="n"/>
      <c r="X69" s="124" t="n"/>
      <c r="Y69" s="124" t="n"/>
      <c r="Z69" s="124" t="n"/>
      <c r="AA69" s="124" t="n"/>
      <c r="AB69" s="124" t="n"/>
      <c r="AC69" s="124" t="n"/>
    </row>
    <row r="70" hidden="1" customFormat="1" s="59">
      <c r="F70" s="601" t="inlineStr">
        <is>
          <t>Refi Cashout</t>
        </is>
      </c>
      <c r="G70" s="203" t="n"/>
      <c r="H70" s="894" t="n"/>
      <c r="I70" s="894" t="n"/>
      <c r="J70" s="894" t="n"/>
      <c r="K70" s="894" t="n"/>
      <c r="L70" s="894" t="n"/>
      <c r="M70" s="894" t="n"/>
      <c r="N70" s="895" t="n"/>
      <c r="O70" s="894" t="n"/>
      <c r="P70" s="894" t="n"/>
      <c r="Q70" s="894" t="n"/>
      <c r="T70" s="124" t="n"/>
      <c r="U70" s="124" t="n"/>
      <c r="V70" s="124" t="n"/>
      <c r="W70" s="124" t="n"/>
      <c r="X70" s="124" t="n"/>
      <c r="Y70" s="124" t="n"/>
      <c r="Z70" s="124" t="n"/>
      <c r="AA70" s="124" t="n"/>
      <c r="AB70" s="124" t="n"/>
      <c r="AC70" s="124" t="n"/>
    </row>
    <row r="71" hidden="1" customFormat="1" s="59">
      <c r="F71" s="601" t="inlineStr">
        <is>
          <t>New Loan</t>
        </is>
      </c>
      <c r="G71" s="203" t="n"/>
      <c r="H71" s="894" t="n"/>
      <c r="I71" s="894" t="n"/>
      <c r="J71" s="894" t="n"/>
      <c r="K71" s="894" t="n"/>
      <c r="L71" s="894" t="n"/>
      <c r="M71" s="894" t="n"/>
      <c r="N71" s="895" t="n"/>
      <c r="O71" s="894" t="n"/>
      <c r="P71" s="894" t="n"/>
      <c r="Q71" s="894" t="n"/>
      <c r="T71" s="124" t="n"/>
      <c r="U71" s="124" t="n"/>
      <c r="V71" s="124" t="n"/>
      <c r="W71" s="124" t="n"/>
      <c r="X71" s="124" t="n"/>
      <c r="Y71" s="124" t="n"/>
      <c r="Z71" s="124" t="n"/>
      <c r="AA71" s="124" t="n"/>
      <c r="AB71" s="124" t="n"/>
      <c r="AC71" s="124" t="n"/>
    </row>
    <row r="72" hidden="1" customFormat="1" s="59">
      <c r="F72" s="601" t="inlineStr">
        <is>
          <t>total Sale - Community</t>
        </is>
      </c>
      <c r="G72" s="203" t="n"/>
      <c r="H72" s="894" t="n"/>
      <c r="I72" s="894" t="n"/>
      <c r="J72" s="894" t="n"/>
      <c r="K72" s="894" t="n"/>
      <c r="L72" s="894" t="n"/>
      <c r="M72" s="894" t="n"/>
      <c r="N72" s="895">
        <f>N53/X20</f>
        <v/>
      </c>
      <c r="O72" s="894" t="n"/>
      <c r="P72" s="894" t="n"/>
      <c r="Q72" s="894" t="n"/>
      <c r="R72" s="59" t="inlineStr">
        <is>
          <t>Lot Rent Exit cap rate:</t>
        </is>
      </c>
      <c r="S72" s="604">
        <f>+$X$20</f>
        <v/>
      </c>
      <c r="T72" s="124" t="n"/>
      <c r="U72" s="124" t="n"/>
      <c r="V72" s="124" t="n"/>
      <c r="W72" s="124" t="n"/>
      <c r="X72" s="124" t="n"/>
      <c r="Y72" s="124" t="n"/>
      <c r="Z72" s="124" t="n"/>
      <c r="AA72" s="124" t="n"/>
      <c r="AB72" s="124" t="n"/>
      <c r="AC72" s="124" t="n"/>
    </row>
    <row r="73" hidden="1" ht="21" customFormat="1" customHeight="1" s="59">
      <c r="F73" s="605" t="inlineStr">
        <is>
          <t xml:space="preserve">Free Cash Flow </t>
        </is>
      </c>
      <c r="G73" s="606" t="n"/>
      <c r="H73" s="607">
        <f>H53+SUM(H68:H72)</f>
        <v/>
      </c>
      <c r="I73" s="607">
        <f>I53+SUM(I68:I72)</f>
        <v/>
      </c>
      <c r="J73" s="607">
        <f>J53+SUM(J68:J72)</f>
        <v/>
      </c>
      <c r="K73" s="607">
        <f>K53+SUM(K68:K72)</f>
        <v/>
      </c>
      <c r="L73" s="607">
        <f>L53+SUM(L68:L72)</f>
        <v/>
      </c>
      <c r="M73" s="607">
        <f>M53+SUM(M68:M72)</f>
        <v/>
      </c>
      <c r="N73" s="608">
        <f>N53+SUM(N68:N72)</f>
        <v/>
      </c>
      <c r="O73" s="613" t="n"/>
      <c r="P73" s="613" t="n"/>
      <c r="Q73" s="613" t="n"/>
      <c r="T73" s="124" t="n"/>
      <c r="U73" s="124" t="n"/>
      <c r="V73" s="124" t="n"/>
      <c r="W73" s="124" t="n"/>
      <c r="X73" s="124" t="n"/>
      <c r="Y73" s="124" t="n"/>
      <c r="Z73" s="124" t="n"/>
      <c r="AA73" s="124" t="n"/>
      <c r="AB73" s="124" t="n"/>
      <c r="AC73" s="124" t="n"/>
    </row>
    <row r="74" hidden="1" customFormat="1" s="59">
      <c r="F74" s="609" t="inlineStr">
        <is>
          <t>DSCR</t>
        </is>
      </c>
      <c r="G74" s="203" t="n"/>
      <c r="H74" s="897">
        <f>-H$53/H$68</f>
        <v/>
      </c>
      <c r="I74" s="897">
        <f>-I$53/I$68</f>
        <v/>
      </c>
      <c r="J74" s="897">
        <f>-J$53/J$68</f>
        <v/>
      </c>
      <c r="K74" s="897">
        <f>-K$53/K$68</f>
        <v/>
      </c>
      <c r="L74" s="897">
        <f>-L$53/L$68</f>
        <v/>
      </c>
      <c r="M74" s="897">
        <f>-M$53/M$68</f>
        <v/>
      </c>
      <c r="N74" s="897">
        <f>-N$53/N$68</f>
        <v/>
      </c>
      <c r="O74" s="897" t="n"/>
      <c r="P74" s="897" t="n"/>
      <c r="Q74" s="897" t="n"/>
      <c r="T74" s="124" t="n"/>
      <c r="U74" s="124" t="n"/>
      <c r="V74" s="124" t="n"/>
      <c r="W74" s="124" t="n"/>
      <c r="X74" s="124" t="n"/>
      <c r="Y74" s="124" t="n"/>
      <c r="Z74" s="124" t="n"/>
      <c r="AA74" s="124" t="n"/>
      <c r="AB74" s="124" t="n"/>
      <c r="AC74" s="124" t="n"/>
    </row>
    <row r="75" hidden="1" customFormat="1" s="59">
      <c r="G75" s="203"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customFormat="1" s="59">
      <c r="G77" s="203" t="n"/>
      <c r="T77" s="124" t="n"/>
      <c r="U77" s="124" t="n"/>
      <c r="V77" s="124" t="n"/>
      <c r="W77" s="124" t="n"/>
      <c r="X77" s="124" t="n"/>
      <c r="Y77" s="124" t="n"/>
      <c r="Z77" s="124" t="n"/>
      <c r="AA77" s="124" t="n"/>
      <c r="AB77" s="124" t="n"/>
      <c r="AC77" s="124" t="n"/>
    </row>
    <row r="78" customFormat="1" s="59">
      <c r="G78" s="203" t="n"/>
      <c r="T78" s="124" t="n"/>
      <c r="U78" s="124" t="n"/>
      <c r="V78" s="124" t="n"/>
      <c r="W78" s="124" t="n"/>
      <c r="X78" s="124" t="n"/>
      <c r="Y78" s="124" t="n"/>
      <c r="Z78" s="124" t="n"/>
      <c r="AA78" s="124" t="n"/>
      <c r="AB78" s="124" t="n"/>
      <c r="AC78" s="124"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24" t="n"/>
      <c r="U79" s="124" t="n"/>
      <c r="V79" s="124" t="n"/>
      <c r="W79" s="124" t="n"/>
      <c r="X79" s="124" t="n"/>
      <c r="Y79" s="124" t="n"/>
      <c r="Z79" s="124" t="n"/>
      <c r="AA79" s="124" t="n"/>
      <c r="AB79" s="124" t="n"/>
      <c r="AC79" s="124" t="n"/>
    </row>
    <row r="80" customFormat="1" s="59">
      <c r="F80" s="601" t="inlineStr">
        <is>
          <t>Debt Payoff</t>
        </is>
      </c>
      <c r="G80" s="203" t="n"/>
      <c r="H80" s="894" t="n"/>
      <c r="I80" s="894" t="n"/>
      <c r="J80" s="386" t="n"/>
      <c r="K80" s="894" t="n"/>
      <c r="L80" s="895">
        <f>-'Loan Scenario (acquisition)'!J66</f>
        <v/>
      </c>
      <c r="T80" s="124" t="n"/>
      <c r="U80" s="124" t="n"/>
      <c r="V80" s="124" t="n"/>
      <c r="W80" s="124" t="n"/>
      <c r="X80" s="124" t="n"/>
      <c r="Y80" s="124" t="n"/>
      <c r="Z80" s="124" t="n"/>
      <c r="AA80" s="124" t="n"/>
      <c r="AB80" s="124" t="n"/>
      <c r="AC80" s="124" t="n"/>
    </row>
    <row r="81" customFormat="1" s="59">
      <c r="F81" s="601" t="inlineStr">
        <is>
          <t>Refi Cashout</t>
        </is>
      </c>
      <c r="G81" s="203" t="n"/>
      <c r="H81" s="894" t="n"/>
      <c r="I81" s="894" t="n"/>
      <c r="J81" s="386" t="n"/>
      <c r="K81" s="894" t="n"/>
      <c r="L81" s="895" t="n"/>
      <c r="T81" s="124" t="n"/>
      <c r="U81" s="124" t="n"/>
      <c r="V81" s="124" t="n"/>
      <c r="W81" s="124" t="n"/>
      <c r="X81" s="124" t="n"/>
      <c r="Y81" s="124" t="n"/>
      <c r="Z81" s="124" t="n"/>
      <c r="AA81" s="124" t="n"/>
      <c r="AB81" s="124" t="n"/>
      <c r="AC81" s="124" t="n"/>
    </row>
    <row r="82" customFormat="1" s="59">
      <c r="F82" s="601" t="inlineStr">
        <is>
          <t>New Loan</t>
        </is>
      </c>
      <c r="G82" s="203" t="n"/>
      <c r="H82" s="894" t="n"/>
      <c r="I82" s="894" t="n"/>
      <c r="J82" s="894" t="n"/>
      <c r="K82" s="894" t="n"/>
      <c r="L82" s="895" t="n"/>
      <c r="M82" s="59" t="inlineStr">
        <is>
          <t>Lot Rent NOI Exit</t>
        </is>
      </c>
      <c r="N82" s="604">
        <f>$X$20</f>
        <v/>
      </c>
      <c r="T82" s="124" t="n"/>
      <c r="U82" s="124" t="n"/>
      <c r="V82" s="124" t="n"/>
      <c r="W82" s="124" t="n"/>
      <c r="X82" s="124" t="n"/>
      <c r="Y82" s="124" t="n"/>
      <c r="Z82" s="124" t="n"/>
      <c r="AA82" s="124" t="n"/>
      <c r="AB82" s="124" t="n"/>
      <c r="AC82" s="124" t="n"/>
    </row>
    <row r="83" customFormat="1" s="59">
      <c r="F83" s="601" t="inlineStr">
        <is>
          <t>Total Sale - Community</t>
        </is>
      </c>
      <c r="G83" s="203" t="n"/>
      <c r="H83" s="894" t="n"/>
      <c r="I83" s="894" t="n"/>
      <c r="J83" s="386" t="n"/>
      <c r="K83" s="894" t="n"/>
      <c r="L83" s="687">
        <f>(L56/N82)+(L57/N83)</f>
        <v/>
      </c>
      <c r="M83" s="59" t="inlineStr">
        <is>
          <t>Home  Rent NOI Exit</t>
        </is>
      </c>
      <c r="N83" s="604">
        <f>$X$21</f>
        <v/>
      </c>
      <c r="T83" s="124" t="n"/>
      <c r="U83" s="124" t="n"/>
      <c r="V83" s="124" t="n"/>
      <c r="W83" s="124" t="n"/>
      <c r="X83" s="124" t="n"/>
      <c r="Y83" s="124" t="n"/>
      <c r="Z83" s="124" t="n"/>
      <c r="AA83" s="124" t="n"/>
      <c r="AB83" s="124" t="n"/>
      <c r="AC83" s="124" t="n"/>
    </row>
    <row r="84" customFormat="1" s="59">
      <c r="F84" s="605" t="inlineStr">
        <is>
          <t xml:space="preserve">Free Cash Flow </t>
        </is>
      </c>
      <c r="G84" s="896">
        <f>-'Sources and Uses'!$C$7-'Sources and Uses'!$C$8</f>
        <v/>
      </c>
      <c r="H84" s="607">
        <f>H53+SUM(H79:H83)</f>
        <v/>
      </c>
      <c r="I84" s="607">
        <f>I53+SUM(I79:I83)</f>
        <v/>
      </c>
      <c r="J84" s="607">
        <f>J53+SUM(J79:J83)</f>
        <v/>
      </c>
      <c r="K84" s="607">
        <f>K53+SUM(K79:K83)</f>
        <v/>
      </c>
      <c r="L84" s="608">
        <f>L53+SUM(L79:L83)</f>
        <v/>
      </c>
      <c r="T84" s="124" t="n"/>
      <c r="U84" s="124" t="n"/>
      <c r="V84" s="124" t="n"/>
      <c r="W84" s="124" t="n"/>
      <c r="X84" s="124" t="n"/>
      <c r="Y84" s="124" t="n"/>
      <c r="Z84" s="124" t="n"/>
      <c r="AA84" s="124" t="n"/>
      <c r="AB84" s="124" t="n"/>
      <c r="AC84" s="124" t="n"/>
    </row>
    <row r="85" customFormat="1" s="59">
      <c r="F85" s="609" t="inlineStr">
        <is>
          <t>DSCR</t>
        </is>
      </c>
      <c r="G85" s="203" t="n"/>
      <c r="H85" s="897">
        <f>-H53/H79</f>
        <v/>
      </c>
      <c r="I85" s="897">
        <f>-I53/I79</f>
        <v/>
      </c>
      <c r="J85" s="897">
        <f>-J53/J79</f>
        <v/>
      </c>
      <c r="K85" s="897">
        <f>-K53/K79</f>
        <v/>
      </c>
      <c r="L85" s="897">
        <f>-L53/L79</f>
        <v/>
      </c>
      <c r="T85" s="124" t="n"/>
      <c r="U85" s="124" t="n"/>
      <c r="V85" s="124" t="n"/>
      <c r="W85" s="124" t="n"/>
      <c r="X85" s="124" t="n"/>
      <c r="Y85" s="124" t="n"/>
      <c r="Z85" s="124" t="n"/>
      <c r="AA85" s="124" t="n"/>
      <c r="AB85" s="124" t="n"/>
      <c r="AC85" s="124" t="n"/>
    </row>
    <row r="86" customFormat="1" s="59">
      <c r="G86" s="203" t="n"/>
      <c r="T86" s="124" t="n"/>
      <c r="U86" s="124" t="n"/>
      <c r="V86" s="124" t="n"/>
      <c r="W86" s="124" t="n"/>
      <c r="X86" s="124" t="n"/>
      <c r="Y86" s="124" t="n"/>
      <c r="Z86" s="124" t="n"/>
      <c r="AA86" s="124" t="n"/>
      <c r="AB86" s="124" t="n"/>
      <c r="AC86" s="124" t="n"/>
    </row>
    <row r="87" customFormat="1" s="59">
      <c r="G87" s="203" t="n"/>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D90" s="593" t="inlineStr">
        <is>
          <t>S2-Secondary seller note</t>
        </is>
      </c>
      <c r="G90" s="203" t="n"/>
      <c r="T90" s="124" t="n"/>
      <c r="U90" s="124" t="n"/>
      <c r="V90" s="124" t="n"/>
      <c r="W90" s="124" t="n"/>
      <c r="X90" s="124" t="n"/>
      <c r="Y90" s="124" t="n"/>
      <c r="Z90" s="124" t="n"/>
      <c r="AA90" s="124" t="n"/>
      <c r="AB90" s="124" t="n"/>
      <c r="AC90" s="124"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24" t="n"/>
      <c r="U91" s="124" t="n"/>
      <c r="V91" s="124" t="n"/>
      <c r="W91" s="124" t="n"/>
      <c r="X91" s="124" t="n"/>
      <c r="Y91" s="124" t="n"/>
      <c r="Z91" s="124" t="n"/>
      <c r="AA91" s="124" t="n"/>
      <c r="AB91" s="124" t="n"/>
      <c r="AC91" s="124"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24" t="n"/>
      <c r="U92" s="124" t="n"/>
      <c r="V92" s="124" t="n"/>
      <c r="W92" s="124" t="n"/>
      <c r="X92" s="124" t="n"/>
      <c r="Y92" s="124" t="n"/>
      <c r="Z92" s="124" t="n"/>
      <c r="AA92" s="124" t="n"/>
      <c r="AB92" s="124" t="n"/>
      <c r="AC92" s="124"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24" t="n"/>
      <c r="U93" s="124" t="n"/>
      <c r="V93" s="124" t="n"/>
      <c r="W93" s="124" t="n"/>
      <c r="X93" s="124" t="n"/>
      <c r="Y93" s="124" t="n"/>
      <c r="Z93" s="124" t="n"/>
      <c r="AA93" s="124" t="n"/>
      <c r="AB93" s="124" t="n"/>
      <c r="AC93" s="124" t="n"/>
    </row>
    <row r="94" customFormat="1" s="59">
      <c r="F94" s="601" t="inlineStr">
        <is>
          <t>Refi Cashout</t>
        </is>
      </c>
      <c r="G94" s="203" t="n"/>
      <c r="H94" s="894" t="n"/>
      <c r="I94" s="894" t="n"/>
      <c r="J94" s="386" t="n"/>
      <c r="K94" s="894" t="n"/>
      <c r="L94" s="894">
        <f>L56/7%/1.25</f>
        <v/>
      </c>
      <c r="M94" s="894" t="n"/>
      <c r="N94" s="894" t="n"/>
      <c r="O94" s="894" t="n"/>
      <c r="P94" s="894" t="n"/>
      <c r="Q94" s="895" t="n"/>
      <c r="T94" s="124" t="n"/>
      <c r="U94" s="124" t="n"/>
      <c r="V94" s="124" t="n"/>
      <c r="W94" s="124" t="n"/>
      <c r="X94" s="124" t="n"/>
      <c r="Y94" s="124" t="n"/>
      <c r="Z94" s="124" t="n"/>
      <c r="AA94" s="124" t="n"/>
      <c r="AB94" s="124" t="n"/>
      <c r="AC94" s="124"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24" t="n"/>
      <c r="U95" s="124" t="n"/>
      <c r="V95" s="124" t="n"/>
      <c r="W95" s="124" t="n"/>
      <c r="X95" s="124" t="n"/>
      <c r="Y95" s="124" t="n"/>
      <c r="Z95" s="124" t="n"/>
      <c r="AA95" s="124" t="n"/>
      <c r="AB95" s="124" t="n"/>
      <c r="AC95" s="124"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24" t="n"/>
      <c r="U96" s="124" t="n"/>
      <c r="V96" s="124" t="n"/>
      <c r="W96" s="124" t="n"/>
      <c r="X96" s="124" t="n"/>
      <c r="Y96" s="124" t="n"/>
      <c r="Z96" s="124" t="n"/>
      <c r="AA96" s="124" t="n"/>
      <c r="AB96" s="124" t="n"/>
      <c r="AC96" s="124" t="n"/>
    </row>
    <row r="97" customFormat="1" s="59">
      <c r="F97" s="605" t="inlineStr">
        <is>
          <t xml:space="preserve">Free Cash Flow </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24" t="n"/>
      <c r="U97" s="124" t="n"/>
      <c r="V97" s="124" t="n"/>
      <c r="W97" s="124" t="n"/>
      <c r="X97" s="124" t="n"/>
      <c r="Y97" s="124" t="n"/>
      <c r="Z97" s="124" t="n"/>
      <c r="AA97" s="124" t="n"/>
      <c r="AB97" s="124" t="n"/>
      <c r="AC97" s="124"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24" t="n"/>
      <c r="U98" s="124" t="n"/>
      <c r="V98" s="124" t="n"/>
      <c r="W98" s="124" t="n"/>
      <c r="X98" s="124" t="n"/>
      <c r="Y98" s="124" t="n"/>
      <c r="Z98" s="124" t="n"/>
      <c r="AA98" s="124" t="n"/>
      <c r="AB98" s="124" t="n"/>
      <c r="AC98" s="124"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24" t="n"/>
      <c r="U99" s="124" t="n"/>
      <c r="V99" s="124" t="n"/>
      <c r="W99" s="124" t="n"/>
      <c r="X99" s="124" t="n"/>
      <c r="Y99" s="124" t="n"/>
      <c r="Z99" s="124" t="n"/>
      <c r="AA99" s="124" t="n"/>
      <c r="AB99" s="124" t="n"/>
      <c r="AC99" s="124" t="n"/>
    </row>
    <row r="100" customFormat="1" s="59">
      <c r="F100" s="59" t="inlineStr">
        <is>
          <t>Avg cOC Y1-Y4</t>
        </is>
      </c>
      <c r="G100" s="695">
        <f>AVERAGE(H99:K99)</f>
        <v/>
      </c>
      <c r="T100" s="124" t="n"/>
      <c r="U100" s="124" t="n"/>
      <c r="V100" s="124" t="n"/>
      <c r="W100" s="124" t="n"/>
      <c r="X100" s="124" t="n"/>
      <c r="Y100" s="124" t="n"/>
      <c r="Z100" s="124" t="n"/>
      <c r="AA100" s="124" t="n"/>
      <c r="AB100" s="124" t="n"/>
      <c r="AC100" s="124" t="n"/>
    </row>
    <row r="101" customFormat="1" s="59">
      <c r="F101" s="59" t="inlineStr">
        <is>
          <t>IRR</t>
        </is>
      </c>
      <c r="G101" s="696">
        <f>IRR(G97:Q97)</f>
        <v/>
      </c>
      <c r="T101" s="124" t="n"/>
      <c r="U101" s="124" t="n"/>
      <c r="V101" s="124" t="n"/>
      <c r="W101" s="124" t="n"/>
      <c r="X101" s="124" t="n"/>
      <c r="Y101" s="124" t="n"/>
      <c r="Z101" s="124" t="n"/>
      <c r="AA101" s="124" t="n"/>
      <c r="AB101" s="124" t="n"/>
      <c r="AC101" s="124" t="n"/>
    </row>
    <row r="102" customFormat="1" s="59">
      <c r="F102" s="59" t="inlineStr">
        <is>
          <t>MOIC</t>
        </is>
      </c>
      <c r="G102" s="898">
        <f>SUM(H97:Q97)/-G97</f>
        <v/>
      </c>
      <c r="T102" s="124" t="n"/>
      <c r="U102" s="124" t="n"/>
      <c r="V102" s="124" t="n"/>
      <c r="W102" s="124" t="n"/>
      <c r="X102" s="124" t="n"/>
      <c r="Y102" s="124" t="n"/>
      <c r="Z102" s="124" t="n"/>
      <c r="AA102" s="124" t="n"/>
      <c r="AB102" s="124" t="n"/>
      <c r="AC102" s="124" t="n"/>
    </row>
    <row r="103" customFormat="1" s="59">
      <c r="G103" s="203" t="n"/>
      <c r="T103" s="124" t="n"/>
      <c r="U103" s="124" t="n"/>
      <c r="V103" s="124" t="n"/>
      <c r="W103" s="124" t="n"/>
      <c r="X103" s="124" t="n"/>
      <c r="Y103" s="124" t="n"/>
      <c r="Z103" s="124" t="n"/>
      <c r="AA103" s="124" t="n"/>
      <c r="AB103" s="124" t="n"/>
      <c r="AC103" s="124" t="n"/>
    </row>
    <row r="104" customFormat="1" s="59">
      <c r="G104" s="203" t="n"/>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G108" s="203" t="n"/>
      <c r="T108" s="124" t="n"/>
      <c r="U108" s="124" t="n"/>
      <c r="V108" s="124" t="n"/>
      <c r="W108" s="124" t="n"/>
      <c r="X108" s="124" t="n"/>
      <c r="Y108" s="124" t="n"/>
      <c r="Z108" s="124" t="n"/>
      <c r="AA108" s="124" t="n"/>
      <c r="AB108" s="124" t="n"/>
      <c r="AC108" s="124" t="n"/>
    </row>
    <row r="109" customFormat="1" s="59">
      <c r="G109" s="203" t="n"/>
      <c r="T109" s="124" t="n"/>
      <c r="U109" s="124" t="n"/>
      <c r="V109" s="124" t="n"/>
      <c r="W109" s="124" t="n"/>
      <c r="X109" s="124" t="n"/>
      <c r="Y109" s="124" t="n"/>
      <c r="Z109" s="124" t="n"/>
      <c r="AA109" s="124" t="n"/>
      <c r="AB109" s="124" t="n"/>
      <c r="AC109" s="124" t="n"/>
    </row>
    <row r="110" customFormat="1" s="59">
      <c r="G110" s="203" t="n"/>
      <c r="T110" s="124" t="n"/>
      <c r="U110" s="124" t="n"/>
      <c r="V110" s="124" t="n"/>
      <c r="W110" s="124" t="n"/>
      <c r="X110" s="124" t="n"/>
      <c r="Y110" s="124" t="n"/>
      <c r="Z110" s="124" t="n"/>
      <c r="AA110" s="124" t="n"/>
      <c r="AB110" s="124" t="n"/>
      <c r="AC110" s="124" t="n"/>
    </row>
    <row r="111" customFormat="1" s="59">
      <c r="G111" s="203" t="n"/>
      <c r="T111" s="124" t="n"/>
      <c r="U111" s="124" t="n"/>
      <c r="V111" s="124" t="n"/>
      <c r="W111" s="124" t="n"/>
      <c r="X111" s="124" t="n"/>
      <c r="Y111" s="124" t="n"/>
      <c r="Z111" s="124" t="n"/>
      <c r="AA111" s="124" t="n"/>
      <c r="AB111" s="124" t="n"/>
      <c r="AC111" s="124" t="n"/>
    </row>
    <row r="112" customFormat="1" s="59">
      <c r="G112" s="203" t="n"/>
      <c r="T112" s="124" t="n"/>
      <c r="U112" s="124" t="n"/>
      <c r="V112" s="124" t="n"/>
      <c r="W112" s="124" t="n"/>
      <c r="X112" s="124" t="n"/>
      <c r="Y112" s="124" t="n"/>
      <c r="Z112" s="124" t="n"/>
      <c r="AA112" s="124" t="n"/>
      <c r="AB112" s="124" t="n"/>
      <c r="AC112" s="124" t="n"/>
    </row>
    <row r="113" customFormat="1" s="59">
      <c r="G113" s="203" t="n"/>
      <c r="T113" s="124" t="n"/>
      <c r="U113" s="124" t="n"/>
      <c r="V113" s="124" t="n"/>
      <c r="W113" s="124" t="n"/>
      <c r="X113" s="124" t="n"/>
      <c r="Y113" s="124" t="n"/>
      <c r="Z113" s="124" t="n"/>
      <c r="AA113" s="124" t="n"/>
      <c r="AB113" s="124" t="n"/>
      <c r="AC113" s="124" t="n"/>
    </row>
    <row r="114" customFormat="1" s="59">
      <c r="G114" s="203" t="n"/>
      <c r="T114" s="124" t="n"/>
      <c r="U114" s="124" t="n"/>
      <c r="V114" s="124" t="n"/>
      <c r="W114" s="124" t="n"/>
      <c r="X114" s="124" t="n"/>
      <c r="Y114" s="124" t="n"/>
      <c r="Z114" s="124" t="n"/>
      <c r="AA114" s="124" t="n"/>
      <c r="AB114" s="124" t="n"/>
      <c r="AC114" s="124" t="n"/>
    </row>
    <row r="115" customFormat="1" s="59">
      <c r="G115" s="203" t="n"/>
      <c r="T115" s="124" t="n"/>
      <c r="U115" s="124" t="n"/>
      <c r="V115" s="124" t="n"/>
      <c r="W115" s="124" t="n"/>
      <c r="X115" s="124" t="n"/>
      <c r="Y115" s="124" t="n"/>
      <c r="Z115" s="124" t="n"/>
      <c r="AA115" s="124" t="n"/>
      <c r="AB115" s="124" t="n"/>
      <c r="AC115" s="124" t="n"/>
    </row>
    <row r="116" customFormat="1" s="59">
      <c r="G116" s="203" t="n"/>
      <c r="T116" s="124" t="n"/>
      <c r="U116" s="124" t="n"/>
      <c r="V116" s="124" t="n"/>
      <c r="W116" s="124" t="n"/>
      <c r="X116" s="124" t="n"/>
      <c r="Y116" s="124" t="n"/>
      <c r="Z116" s="124" t="n"/>
      <c r="AA116" s="124" t="n"/>
      <c r="AB116" s="124" t="n"/>
      <c r="AC116" s="124" t="n"/>
    </row>
    <row r="117" customFormat="1" s="59">
      <c r="G117" s="20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Underwriting'!$N$7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Underwriting'!$N$7</f>
        <v/>
      </c>
      <c r="H19" s="751">
        <f>75%*H33</f>
        <v/>
      </c>
      <c r="I19" s="151">
        <f>75%*I33</f>
        <v/>
      </c>
      <c r="J19" s="151">
        <f>75%*J33</f>
        <v/>
      </c>
      <c r="K19" s="151">
        <f>75%*K33</f>
        <v/>
      </c>
      <c r="L19" s="751">
        <f>75%*L33</f>
        <v/>
      </c>
      <c r="M19" s="151">
        <f>75%*M33</f>
        <v/>
      </c>
      <c r="N19" s="151">
        <f>75%*N33</f>
        <v/>
      </c>
      <c r="O19" s="751">
        <f>75%*O33</f>
        <v/>
      </c>
      <c r="P19" s="751">
        <f>75%*P33</f>
        <v/>
      </c>
      <c r="Q19" s="75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571" t="n"/>
      <c r="U20" s="571" t="n"/>
      <c r="V20" s="571" t="n"/>
      <c r="W20" s="571" t="n"/>
      <c r="X20" s="635" t="n">
        <v>0</v>
      </c>
      <c r="Y20" s="636" t="n"/>
      <c r="Z20" s="637" t="n"/>
      <c r="AA20" s="614" t="n"/>
      <c r="AB20" s="614" t="n"/>
      <c r="AC20" s="614" t="n"/>
    </row>
    <row r="21" ht="16.5" customHeight="1" thickBot="1">
      <c r="A21" s="59" t="n"/>
      <c r="B21" s="59" t="n"/>
      <c r="C21" s="538" t="inlineStr">
        <is>
          <t>Lease to Own</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c r="C47" s="538" t="inlineStr">
        <is>
          <t>Home Rent Expense</t>
        </is>
      </c>
      <c r="D47" s="151">
        <f>'GGC Underwriting'!D41</f>
        <v/>
      </c>
      <c r="E47" s="151">
        <f>'GGC Underwriting'!E41</f>
        <v/>
      </c>
      <c r="F47" s="541">
        <f>'GGC Underwriting'!I41</f>
        <v/>
      </c>
      <c r="G47" s="541">
        <f>F47/'GGC Underwriting'!$N$7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Sale Proceeds Net</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Refi Cashout</t>
        </is>
      </c>
      <c r="G63" s="203" t="n"/>
      <c r="H63" s="894" t="n"/>
      <c r="I63" s="894" t="n"/>
      <c r="J63" s="386" t="n"/>
      <c r="K63" s="894" t="n"/>
      <c r="L63" s="894" t="n"/>
      <c r="M63" s="894" t="n"/>
      <c r="N63" s="894" t="n"/>
      <c r="O63" s="894" t="n"/>
      <c r="P63" s="894" t="n"/>
      <c r="Q63" s="895" t="n"/>
      <c r="T63" s="124" t="n"/>
      <c r="U63" s="124" t="n"/>
      <c r="V63" s="124" t="n"/>
      <c r="W63" s="124" t="n"/>
      <c r="X63" s="124" t="n"/>
      <c r="Y63" s="124" t="n"/>
      <c r="Z63" s="124" t="n"/>
      <c r="AA63" s="124" t="n"/>
      <c r="AB63" s="124" t="n"/>
      <c r="AC63" s="124"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v>0.06</v>
      </c>
      <c r="T64" s="124" t="n"/>
      <c r="U64" s="124" t="n"/>
      <c r="V64" s="124" t="n"/>
      <c r="W64" s="124" t="n"/>
      <c r="X64" s="124" t="n"/>
      <c r="Y64" s="124" t="n"/>
      <c r="Z64" s="124" t="n"/>
      <c r="AA64" s="124" t="n"/>
      <c r="AB64" s="124" t="n"/>
      <c r="AC64" s="124"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24" t="n"/>
      <c r="U65" s="124" t="n"/>
      <c r="V65" s="124" t="n"/>
      <c r="W65" s="124" t="n"/>
      <c r="X65" s="124" t="n"/>
      <c r="Y65" s="124" t="n"/>
      <c r="Z65" s="124" t="n"/>
      <c r="AA65" s="124" t="n"/>
      <c r="AB65" s="124" t="n"/>
      <c r="AC65" s="124" t="n"/>
    </row>
    <row r="66" customFormat="1" s="59">
      <c r="F66" s="605" t="inlineStr">
        <is>
          <t xml:space="preserve">Free Cash Flow </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24" t="n"/>
      <c r="U66" s="124" t="n"/>
      <c r="V66" s="124" t="n"/>
      <c r="W66" s="124" t="n"/>
      <c r="X66" s="124" t="n"/>
      <c r="Y66" s="124" t="n"/>
      <c r="Z66" s="124" t="n"/>
      <c r="AA66" s="124" t="n"/>
      <c r="AB66" s="124" t="n"/>
      <c r="AC66" s="124"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24" t="n"/>
      <c r="U67" s="124" t="n"/>
      <c r="V67" s="124" t="n"/>
      <c r="W67" s="124" t="n"/>
      <c r="X67" s="124" t="n"/>
      <c r="Y67" s="124" t="n"/>
      <c r="Z67" s="124" t="n"/>
      <c r="AA67" s="124" t="n"/>
      <c r="AB67" s="124" t="n"/>
      <c r="AC67" s="124"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24" t="n"/>
      <c r="U68" s="124" t="n"/>
      <c r="V68" s="124" t="n"/>
      <c r="W68" s="124" t="n"/>
      <c r="X68" s="124" t="n"/>
      <c r="Y68" s="124" t="n"/>
      <c r="Z68" s="124" t="n"/>
      <c r="AA68" s="124" t="n"/>
      <c r="AB68" s="124" t="n"/>
      <c r="AC68" s="124" t="n"/>
    </row>
    <row r="69" hidden="1" customFormat="1" s="59">
      <c r="E69" s="144" t="inlineStr">
        <is>
          <t>7 Year</t>
        </is>
      </c>
      <c r="F69" s="59" t="inlineStr">
        <is>
          <t>Avg cOC Y1-Y4</t>
        </is>
      </c>
      <c r="G69" s="695">
        <f>AVERAGE(H68:K68)</f>
        <v/>
      </c>
      <c r="T69" s="124" t="n"/>
      <c r="U69" s="124" t="n"/>
      <c r="V69" s="124" t="n"/>
      <c r="W69" s="124" t="n"/>
      <c r="X69" s="124" t="n"/>
      <c r="Y69" s="124" t="n"/>
      <c r="Z69" s="124" t="n"/>
      <c r="AA69" s="124" t="n"/>
      <c r="AB69" s="124" t="n"/>
      <c r="AC69" s="124" t="n"/>
    </row>
    <row r="70" hidden="1" ht="15.75" customFormat="1" customHeight="1" s="59">
      <c r="F70" s="59" t="inlineStr">
        <is>
          <t>IRR</t>
        </is>
      </c>
      <c r="G70" s="696">
        <f>IRR(G66:Q66)</f>
        <v/>
      </c>
      <c r="T70" s="124" t="n"/>
      <c r="U70" s="124" t="n"/>
      <c r="V70" s="124" t="n"/>
      <c r="W70" s="124" t="n"/>
      <c r="X70" s="124" t="n"/>
      <c r="Y70" s="124" t="n"/>
      <c r="Z70" s="124" t="n"/>
      <c r="AA70" s="124" t="n"/>
      <c r="AB70" s="124" t="n"/>
      <c r="AC70" s="124" t="n"/>
    </row>
    <row r="71" hidden="1" customFormat="1" s="59">
      <c r="F71" s="59" t="inlineStr">
        <is>
          <t>MOIC</t>
        </is>
      </c>
      <c r="G71" s="898">
        <f>SUM(H66:Q66)/-G66</f>
        <v/>
      </c>
      <c r="T71" s="124" t="n"/>
      <c r="U71" s="124" t="n"/>
      <c r="V71" s="124" t="n"/>
      <c r="W71" s="124" t="n"/>
      <c r="X71" s="124" t="n"/>
      <c r="Y71" s="124" t="n"/>
      <c r="Z71" s="124" t="n"/>
      <c r="AA71" s="124" t="n"/>
      <c r="AB71" s="124" t="n"/>
      <c r="AC71" s="124" t="n"/>
    </row>
    <row r="72" hidden="1" customFormat="1" s="59">
      <c r="F72" s="601" t="inlineStr">
        <is>
          <t>New Loan</t>
        </is>
      </c>
      <c r="G72" s="203" t="n"/>
      <c r="H72" s="894" t="n"/>
      <c r="I72" s="894" t="n"/>
      <c r="J72" s="894" t="n"/>
      <c r="K72" s="894" t="n"/>
      <c r="L72" s="894" t="n"/>
      <c r="M72" s="894" t="n"/>
      <c r="N72" s="895" t="n"/>
      <c r="O72" s="894" t="n"/>
      <c r="P72" s="894" t="n"/>
      <c r="Q72" s="894" t="n"/>
      <c r="T72" s="124" t="n"/>
      <c r="U72" s="124" t="n"/>
      <c r="V72" s="124" t="n"/>
      <c r="W72" s="124" t="n"/>
      <c r="X72" s="124" t="n"/>
      <c r="Y72" s="124" t="n"/>
      <c r="Z72" s="124" t="n"/>
      <c r="AA72" s="124" t="n"/>
      <c r="AB72" s="124" t="n"/>
      <c r="AC72" s="124"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24" t="n"/>
      <c r="U73" s="124" t="n"/>
      <c r="V73" s="124" t="n"/>
      <c r="W73" s="124" t="n"/>
      <c r="X73" s="124" t="n"/>
      <c r="Y73" s="124" t="n"/>
      <c r="Z73" s="124" t="n"/>
      <c r="AA73" s="124" t="n"/>
      <c r="AB73" s="124" t="n"/>
      <c r="AC73" s="124" t="n"/>
    </row>
    <row r="74" hidden="1" ht="21" customFormat="1" customHeight="1" s="59">
      <c r="F74" s="605" t="inlineStr">
        <is>
          <t xml:space="preserve">Free Cash Flow </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24" t="n"/>
      <c r="U74" s="124" t="n"/>
      <c r="V74" s="124" t="n"/>
      <c r="W74" s="124" t="n"/>
      <c r="X74" s="124" t="n"/>
      <c r="Y74" s="124" t="n"/>
      <c r="Z74" s="124" t="n"/>
      <c r="AA74" s="124" t="n"/>
      <c r="AB74" s="124" t="n"/>
      <c r="AC74" s="124"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hidden="1" customFormat="1" s="59">
      <c r="G77" s="203" t="n"/>
      <c r="T77" s="124" t="n"/>
      <c r="U77" s="124" t="n"/>
      <c r="V77" s="124" t="n"/>
      <c r="W77" s="124" t="n"/>
      <c r="X77" s="124" t="n"/>
      <c r="Y77" s="124" t="n"/>
      <c r="Z77" s="124" t="n"/>
      <c r="AA77" s="124" t="n"/>
      <c r="AB77" s="124" t="n"/>
      <c r="AC77" s="124" t="n"/>
    </row>
    <row r="78" customFormat="1" s="59">
      <c r="F78" s="59" t="inlineStr">
        <is>
          <t>Avg cOC Y1-Y4</t>
        </is>
      </c>
      <c r="G78" s="695">
        <f>AVERAGE(H68:P68)</f>
        <v/>
      </c>
      <c r="T78" s="124" t="n"/>
      <c r="U78" s="124" t="n"/>
      <c r="V78" s="124" t="n"/>
      <c r="W78" s="124" t="n"/>
      <c r="X78" s="124" t="n"/>
      <c r="Y78" s="124" t="n"/>
      <c r="Z78" s="124" t="n"/>
      <c r="AA78" s="124" t="n"/>
      <c r="AB78" s="124" t="n"/>
      <c r="AC78" s="124" t="n"/>
    </row>
    <row r="79" customFormat="1" s="59">
      <c r="F79" s="59" t="inlineStr">
        <is>
          <t>IRR</t>
        </is>
      </c>
      <c r="G79" s="696">
        <f>IRR(G66:Q66)</f>
        <v/>
      </c>
      <c r="T79" s="124" t="n"/>
      <c r="U79" s="124" t="n"/>
      <c r="V79" s="124" t="n"/>
      <c r="W79" s="124" t="n"/>
      <c r="X79" s="124" t="n"/>
      <c r="Y79" s="124" t="n"/>
      <c r="Z79" s="124" t="n"/>
      <c r="AA79" s="124" t="n"/>
      <c r="AB79" s="124" t="n"/>
      <c r="AC79" s="124"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24" t="n"/>
      <c r="U80" s="124" t="n"/>
      <c r="V80" s="124" t="n"/>
      <c r="W80" s="124" t="n"/>
      <c r="X80" s="124" t="n"/>
      <c r="Y80" s="124" t="n"/>
      <c r="Z80" s="124" t="n"/>
      <c r="AA80" s="124" t="n"/>
      <c r="AB80" s="124" t="n"/>
      <c r="AC80" s="124" t="n"/>
    </row>
    <row r="81" hidden="1" outlineLevel="1" customFormat="1" s="59">
      <c r="F81" s="601" t="inlineStr">
        <is>
          <t>Debt Payoff</t>
        </is>
      </c>
      <c r="G81" s="386" t="n"/>
      <c r="H81" s="894" t="n"/>
      <c r="I81" s="894" t="n"/>
      <c r="J81" s="386" t="n"/>
      <c r="K81" s="894" t="n"/>
      <c r="L81" s="895">
        <f>-'Loan Scenario (acquisition)'!J66</f>
        <v/>
      </c>
      <c r="T81" s="124" t="n"/>
      <c r="U81" s="124" t="n"/>
      <c r="V81" s="124" t="n"/>
      <c r="W81" s="124" t="n"/>
      <c r="X81" s="124" t="n"/>
      <c r="Y81" s="124" t="n"/>
      <c r="Z81" s="124" t="n"/>
      <c r="AA81" s="124" t="n"/>
      <c r="AB81" s="124" t="n"/>
      <c r="AC81" s="124" t="n"/>
    </row>
    <row r="82" hidden="1" outlineLevel="1" customFormat="1" s="59">
      <c r="F82" s="601" t="inlineStr">
        <is>
          <t>Refi Cashout</t>
        </is>
      </c>
      <c r="G82" s="386" t="n"/>
      <c r="H82" s="894" t="n"/>
      <c r="I82" s="894" t="n"/>
      <c r="J82" s="386" t="n"/>
      <c r="K82" s="894" t="n"/>
      <c r="L82" s="895" t="n"/>
      <c r="T82" s="124" t="n"/>
      <c r="U82" s="124" t="n"/>
      <c r="V82" s="124" t="n"/>
      <c r="W82" s="124" t="n"/>
      <c r="X82" s="124" t="n"/>
      <c r="Y82" s="124" t="n"/>
      <c r="Z82" s="124" t="n"/>
      <c r="AA82" s="124" t="n"/>
      <c r="AB82" s="124" t="n"/>
      <c r="AC82" s="124" t="n"/>
    </row>
    <row r="83" hidden="1" outlineLevel="1" customFormat="1" s="59">
      <c r="F83" s="601" t="inlineStr">
        <is>
          <t>New Loan</t>
        </is>
      </c>
      <c r="G83" s="386" t="n"/>
      <c r="H83" s="894" t="n"/>
      <c r="I83" s="894" t="n"/>
      <c r="J83" s="894" t="n"/>
      <c r="K83" s="894" t="n"/>
      <c r="L83" s="895" t="n"/>
      <c r="M83" s="59" t="inlineStr">
        <is>
          <t>Lot Rent NOI Exit</t>
        </is>
      </c>
      <c r="N83" s="604" t="n">
        <v>0.06</v>
      </c>
      <c r="T83" s="124" t="n"/>
      <c r="U83" s="124" t="n"/>
      <c r="V83" s="124" t="n"/>
      <c r="W83" s="124" t="n"/>
      <c r="X83" s="124" t="n"/>
      <c r="Y83" s="124" t="n"/>
      <c r="Z83" s="124" t="n"/>
      <c r="AA83" s="124" t="n"/>
      <c r="AB83" s="124" t="n"/>
      <c r="AC83" s="124"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24" t="n"/>
      <c r="U84" s="124" t="n"/>
      <c r="V84" s="124" t="n"/>
      <c r="W84" s="124" t="n"/>
      <c r="X84" s="124" t="n"/>
      <c r="Y84" s="124" t="n"/>
      <c r="Z84" s="124" t="n"/>
      <c r="AA84" s="124" t="n"/>
      <c r="AB84" s="124" t="n"/>
      <c r="AC84" s="124" t="n"/>
    </row>
    <row r="85" hidden="1" outlineLevel="1" customFormat="1" s="59">
      <c r="F85" s="605" t="inlineStr">
        <is>
          <t xml:space="preserve">Free Cash Flow </t>
        </is>
      </c>
      <c r="G85" s="899">
        <f>-'Sources and Uses'!$C$7-'Sources and Uses'!$C$8</f>
        <v/>
      </c>
      <c r="H85" s="607">
        <f>H53+SUM(H80:H84)</f>
        <v/>
      </c>
      <c r="I85" s="607">
        <f>I53+SUM(I80:I84)</f>
        <v/>
      </c>
      <c r="J85" s="607">
        <f>J53+SUM(J80:J84)</f>
        <v/>
      </c>
      <c r="K85" s="607">
        <f>K53+SUM(K80:K84)</f>
        <v/>
      </c>
      <c r="L85" s="608">
        <f>L53+SUM(L80:L84)</f>
        <v/>
      </c>
      <c r="T85" s="124" t="n"/>
      <c r="U85" s="124" t="n"/>
      <c r="V85" s="124" t="n"/>
      <c r="W85" s="124" t="n"/>
      <c r="X85" s="124" t="n"/>
      <c r="Y85" s="124" t="n"/>
      <c r="Z85" s="124" t="n"/>
      <c r="AA85" s="124" t="n"/>
      <c r="AB85" s="124" t="n"/>
      <c r="AC85" s="124" t="n"/>
    </row>
    <row r="86" hidden="1" outlineLevel="1" customFormat="1" s="59">
      <c r="F86" s="609" t="inlineStr">
        <is>
          <t>DSCR</t>
        </is>
      </c>
      <c r="G86" s="386" t="n"/>
      <c r="H86" s="897">
        <f>-H53/H80</f>
        <v/>
      </c>
      <c r="I86" s="897">
        <f>-I53/I80</f>
        <v/>
      </c>
      <c r="J86" s="897">
        <f>-J53/J80</f>
        <v/>
      </c>
      <c r="K86" s="897">
        <f>-K53/K80</f>
        <v/>
      </c>
      <c r="L86" s="897">
        <f>-L53/L80</f>
        <v/>
      </c>
      <c r="T86" s="124" t="n"/>
      <c r="U86" s="124" t="n"/>
      <c r="V86" s="124" t="n"/>
      <c r="W86" s="124" t="n"/>
      <c r="X86" s="124" t="n"/>
      <c r="Y86" s="124" t="n"/>
      <c r="Z86" s="124" t="n"/>
      <c r="AA86" s="124" t="n"/>
      <c r="AB86" s="124" t="n"/>
      <c r="AC86" s="124" t="n"/>
    </row>
    <row r="87" collapsed="1" customFormat="1" s="59">
      <c r="F87" s="59" t="inlineStr">
        <is>
          <t>MOIC</t>
        </is>
      </c>
      <c r="G87" s="900">
        <f>SUM(H66:Q66)/-G66</f>
        <v/>
      </c>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G90" s="203" t="n"/>
      <c r="T90" s="124" t="n"/>
      <c r="U90" s="124" t="n"/>
      <c r="V90" s="124" t="n"/>
      <c r="W90" s="124" t="n"/>
      <c r="X90" s="124" t="n"/>
      <c r="Y90" s="124" t="n"/>
      <c r="Z90" s="124" t="n"/>
      <c r="AA90" s="124" t="n"/>
      <c r="AB90" s="124" t="n"/>
      <c r="AC90" s="124" t="n"/>
    </row>
    <row r="91" customFormat="1" s="59">
      <c r="D91" s="593" t="n"/>
      <c r="G91" s="203" t="n"/>
      <c r="T91" s="124" t="n"/>
      <c r="U91" s="124" t="n"/>
      <c r="V91" s="124" t="n"/>
      <c r="W91" s="124" t="n"/>
      <c r="X91" s="124" t="n"/>
      <c r="Y91" s="124" t="n"/>
      <c r="Z91" s="124" t="n"/>
      <c r="AA91" s="124" t="n"/>
      <c r="AB91" s="124" t="n"/>
      <c r="AC91" s="124"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24" t="n"/>
      <c r="U92" s="124" t="n"/>
      <c r="V92" s="124" t="n"/>
      <c r="W92" s="124" t="n"/>
      <c r="X92" s="124" t="n"/>
      <c r="Y92" s="124" t="n"/>
      <c r="Z92" s="124" t="n"/>
      <c r="AA92" s="124" t="n"/>
      <c r="AB92" s="124" t="n"/>
      <c r="AC92" s="124"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24" t="n"/>
      <c r="U93" s="124" t="n"/>
      <c r="V93" s="124" t="n"/>
      <c r="W93" s="124" t="n"/>
      <c r="X93" s="124" t="n"/>
      <c r="Y93" s="124" t="n"/>
      <c r="Z93" s="124" t="n"/>
      <c r="AA93" s="124" t="n"/>
      <c r="AB93" s="124" t="n"/>
      <c r="AC93" s="124"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24" t="n"/>
      <c r="U94" s="124" t="n"/>
      <c r="V94" s="124" t="n"/>
      <c r="W94" s="124" t="n"/>
      <c r="X94" s="124" t="n"/>
      <c r="Y94" s="124" t="n"/>
      <c r="Z94" s="124" t="n"/>
      <c r="AA94" s="124" t="n"/>
      <c r="AB94" s="124" t="n"/>
      <c r="AC94" s="124"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24" t="n"/>
      <c r="U95" s="124" t="n"/>
      <c r="V95" s="124" t="n"/>
      <c r="W95" s="124" t="n"/>
      <c r="X95" s="124" t="n"/>
      <c r="Y95" s="124" t="n"/>
      <c r="Z95" s="124" t="n"/>
      <c r="AA95" s="124" t="n"/>
      <c r="AB95" s="124" t="n"/>
      <c r="AC95" s="124"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24" t="n"/>
      <c r="U96" s="124" t="n"/>
      <c r="V96" s="124" t="n"/>
      <c r="W96" s="124" t="n"/>
      <c r="X96" s="124" t="n"/>
      <c r="Y96" s="124" t="n"/>
      <c r="Z96" s="124" t="n"/>
      <c r="AA96" s="124" t="n"/>
      <c r="AB96" s="124" t="n"/>
      <c r="AC96" s="124"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v>0.06</v>
      </c>
      <c r="T97" s="124" t="n"/>
      <c r="U97" s="124" t="n"/>
      <c r="V97" s="124" t="n"/>
      <c r="W97" s="124" t="n"/>
      <c r="X97" s="124" t="n"/>
      <c r="Y97" s="124" t="n"/>
      <c r="Z97" s="124" t="n"/>
      <c r="AA97" s="124" t="n"/>
      <c r="AB97" s="124" t="n"/>
      <c r="AC97" s="124"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24" t="n"/>
      <c r="U98" s="124" t="n"/>
      <c r="V98" s="124" t="n"/>
      <c r="W98" s="124" t="n"/>
      <c r="X98" s="124" t="n"/>
      <c r="Y98" s="124" t="n"/>
      <c r="Z98" s="124" t="n"/>
      <c r="AA98" s="124" t="n"/>
      <c r="AB98" s="124" t="n"/>
      <c r="AC98" s="124" t="n"/>
    </row>
    <row r="99" customFormat="1" s="59">
      <c r="F99" s="605" t="inlineStr">
        <is>
          <t xml:space="preserve">Free Cash Flow </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24" t="n"/>
      <c r="U99" s="124" t="n"/>
      <c r="V99" s="124" t="n"/>
      <c r="W99" s="124" t="n"/>
      <c r="X99" s="124" t="n"/>
      <c r="Y99" s="124" t="n"/>
      <c r="Z99" s="124" t="n"/>
      <c r="AA99" s="124" t="n"/>
      <c r="AB99" s="124" t="n"/>
      <c r="AC99" s="124"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24" t="n"/>
      <c r="U100" s="124" t="n"/>
      <c r="V100" s="124" t="n"/>
      <c r="W100" s="124" t="n"/>
      <c r="X100" s="124" t="n"/>
      <c r="Y100" s="124" t="n"/>
      <c r="Z100" s="124" t="n"/>
      <c r="AA100" s="124" t="n"/>
      <c r="AB100" s="124" t="n"/>
      <c r="AC100" s="124"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24" t="n"/>
      <c r="U101" s="124" t="n"/>
      <c r="V101" s="124" t="n"/>
      <c r="W101" s="124" t="n"/>
      <c r="X101" s="124" t="n"/>
      <c r="Y101" s="124" t="n"/>
      <c r="Z101" s="124" t="n"/>
      <c r="AA101" s="124" t="n"/>
      <c r="AB101" s="124" t="n"/>
      <c r="AC101" s="124" t="n"/>
    </row>
    <row r="102" customFormat="1" s="59">
      <c r="F102" s="59" t="inlineStr">
        <is>
          <t>Avg cOC Y1-Y4</t>
        </is>
      </c>
      <c r="G102" s="695">
        <f>AVERAGE(H101:K101)</f>
        <v/>
      </c>
      <c r="T102" s="124" t="n"/>
      <c r="U102" s="124" t="n"/>
      <c r="V102" s="124" t="n"/>
      <c r="W102" s="124" t="n"/>
      <c r="X102" s="124" t="n"/>
      <c r="Y102" s="124" t="n"/>
      <c r="Z102" s="124" t="n"/>
      <c r="AA102" s="124" t="n"/>
      <c r="AB102" s="124" t="n"/>
      <c r="AC102" s="124" t="n"/>
    </row>
    <row r="103" customFormat="1" s="59">
      <c r="F103" s="59" t="inlineStr">
        <is>
          <t>IRR</t>
        </is>
      </c>
      <c r="G103" s="696">
        <f>IRR(G99:Q99)</f>
        <v/>
      </c>
      <c r="T103" s="124" t="n"/>
      <c r="U103" s="124" t="n"/>
      <c r="V103" s="124" t="n"/>
      <c r="W103" s="124" t="n"/>
      <c r="X103" s="124" t="n"/>
      <c r="Y103" s="124" t="n"/>
      <c r="Z103" s="124" t="n"/>
      <c r="AA103" s="124" t="n"/>
      <c r="AB103" s="124" t="n"/>
      <c r="AC103" s="124" t="n"/>
    </row>
    <row r="104" customFormat="1" s="59">
      <c r="F104" s="59" t="inlineStr">
        <is>
          <t>MOIC</t>
        </is>
      </c>
      <c r="G104" s="898">
        <f>SUM(H99:Q99)/-G99</f>
        <v/>
      </c>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24" t="n"/>
      <c r="U108" s="124" t="n"/>
      <c r="V108" s="124" t="n"/>
      <c r="W108" s="124" t="n"/>
      <c r="X108" s="124" t="n"/>
      <c r="Y108" s="124" t="n"/>
      <c r="Z108" s="124" t="n"/>
      <c r="AA108" s="124" t="n"/>
      <c r="AB108" s="124" t="n"/>
      <c r="AC108" s="124"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24" t="n"/>
      <c r="U109" s="124" t="n"/>
      <c r="V109" s="124" t="n"/>
      <c r="W109" s="124" t="n"/>
      <c r="X109" s="124" t="n"/>
      <c r="Y109" s="124" t="n"/>
      <c r="Z109" s="124" t="n"/>
      <c r="AA109" s="124" t="n"/>
      <c r="AB109" s="124" t="n"/>
      <c r="AC109" s="124"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24" t="n"/>
      <c r="U110" s="124" t="n"/>
      <c r="V110" s="124" t="n"/>
      <c r="W110" s="124" t="n"/>
      <c r="X110" s="124" t="n"/>
      <c r="Y110" s="124" t="n"/>
      <c r="Z110" s="124" t="n"/>
      <c r="AA110" s="124" t="n"/>
      <c r="AB110" s="124" t="n"/>
      <c r="AC110" s="124"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24" t="n"/>
      <c r="U111" s="124" t="n"/>
      <c r="V111" s="124" t="n"/>
      <c r="W111" s="124" t="n"/>
      <c r="X111" s="124" t="n"/>
      <c r="Y111" s="124" t="n"/>
      <c r="Z111" s="124" t="n"/>
      <c r="AA111" s="124" t="n"/>
      <c r="AB111" s="124" t="n"/>
      <c r="AC111" s="124" t="n"/>
    </row>
    <row r="112" customFormat="1" s="59">
      <c r="F112" s="601" t="inlineStr">
        <is>
          <t>Refi Cashout</t>
        </is>
      </c>
      <c r="G112" s="203" t="n"/>
      <c r="H112" s="894" t="n"/>
      <c r="I112" s="894" t="n"/>
      <c r="J112" s="386" t="n"/>
      <c r="K112" s="894" t="n"/>
      <c r="L112" s="894">
        <f>L96</f>
        <v/>
      </c>
      <c r="M112" s="894" t="n"/>
      <c r="N112" s="894" t="n"/>
      <c r="O112" s="894" t="n"/>
      <c r="P112" s="894" t="n"/>
      <c r="Q112" s="895" t="n"/>
      <c r="T112" s="124" t="n"/>
      <c r="U112" s="124" t="n"/>
      <c r="V112" s="124" t="n"/>
      <c r="W112" s="124" t="n"/>
      <c r="X112" s="124" t="n"/>
      <c r="Y112" s="124" t="n"/>
      <c r="Z112" s="124" t="n"/>
      <c r="AA112" s="124" t="n"/>
      <c r="AB112" s="124" t="n"/>
      <c r="AC112" s="124" t="n"/>
    </row>
    <row r="113" customFormat="1" s="59">
      <c r="F113" s="601" t="inlineStr">
        <is>
          <t>Sales Proceeds</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v>0.06</v>
      </c>
      <c r="T113" s="124" t="n"/>
      <c r="U113" s="124" t="n"/>
      <c r="V113" s="124" t="n"/>
      <c r="W113" s="124" t="n"/>
      <c r="X113" s="124" t="n"/>
      <c r="Y113" s="124" t="n"/>
      <c r="Z113" s="124" t="n"/>
      <c r="AA113" s="124" t="n"/>
      <c r="AB113" s="124" t="n"/>
      <c r="AC113" s="124"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24" t="n"/>
      <c r="U114" s="124" t="n"/>
      <c r="V114" s="124" t="n"/>
      <c r="W114" s="124" t="n"/>
      <c r="X114" s="124" t="n"/>
      <c r="Y114" s="124" t="n"/>
      <c r="Z114" s="124" t="n"/>
      <c r="AA114" s="124" t="n"/>
      <c r="AB114" s="124" t="n"/>
      <c r="AC114" s="124" t="n"/>
    </row>
    <row r="115" customFormat="1" s="59">
      <c r="F115" s="605" t="inlineStr">
        <is>
          <t xml:space="preserve">Free Cash Flow </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24" t="n"/>
      <c r="U115" s="124" t="n"/>
      <c r="V115" s="124" t="n"/>
      <c r="W115" s="124" t="n"/>
      <c r="X115" s="124" t="n"/>
      <c r="Y115" s="124" t="n"/>
      <c r="Z115" s="124" t="n"/>
      <c r="AA115" s="124" t="n"/>
      <c r="AB115" s="124" t="n"/>
      <c r="AC115" s="124"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24" t="n"/>
      <c r="U116" s="124" t="n"/>
      <c r="V116" s="124" t="n"/>
      <c r="W116" s="124" t="n"/>
      <c r="X116" s="124" t="n"/>
      <c r="Y116" s="124" t="n"/>
      <c r="Z116" s="124" t="n"/>
      <c r="AA116" s="124" t="n"/>
      <c r="AB116" s="124" t="n"/>
      <c r="AC116" s="124"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row r="182" customFormat="1" s="59">
      <c r="G182" s="203" t="n"/>
      <c r="T182" s="124" t="n"/>
      <c r="U182" s="124" t="n"/>
      <c r="V182" s="124" t="n"/>
      <c r="W182" s="124" t="n"/>
      <c r="X182" s="124" t="n"/>
      <c r="Y182" s="124" t="n"/>
      <c r="Z182" s="124" t="n"/>
      <c r="AA182" s="124" t="n"/>
      <c r="AB182" s="124" t="n"/>
      <c r="AC182" s="124" t="n"/>
    </row>
    <row r="183" customFormat="1" s="59">
      <c r="G183" s="203" t="n"/>
      <c r="T183" s="124" t="n"/>
      <c r="U183" s="124" t="n"/>
      <c r="V183" s="124" t="n"/>
      <c r="W183" s="124" t="n"/>
      <c r="X183" s="124" t="n"/>
      <c r="Y183" s="124" t="n"/>
      <c r="Z183" s="124" t="n"/>
      <c r="AA183" s="124" t="n"/>
      <c r="AB183" s="124" t="n"/>
      <c r="AC183"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1"/>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No</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(10-yr-S1)'!D30</f>
        <v/>
      </c>
      <c r="G6" s="466" t="n"/>
    </row>
    <row r="7" ht="17.45" customHeight="1">
      <c r="C7" s="465" t="inlineStr">
        <is>
          <t>Equity Multiple</t>
        </is>
      </c>
      <c r="D7" s="466" t="n"/>
      <c r="E7" s="466" t="n"/>
      <c r="F7" s="901">
        <f>'Waterfall (10-yr-S1)'!D31</f>
        <v/>
      </c>
      <c r="G7" s="466" t="n"/>
    </row>
    <row r="8" ht="15.95" customHeight="1">
      <c r="C8" s="465" t="inlineStr">
        <is>
          <t>Cash on Cash Avg Y1-Y9</t>
        </is>
      </c>
      <c r="D8" s="466" t="n"/>
      <c r="E8" s="466" t="n"/>
      <c r="F8" s="902">
        <f>AVERAGE('Waterfall (10-yr-S1)'!G31:O31)</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AVERAGE('Waterfall (5-yr-S1)'!G31:J31)</f>
        <v/>
      </c>
    </row>
    <row r="22" hidden="1" outlineLevel="1" ht="15.75" customHeight="1" thickBot="1">
      <c r="C22" s="490" t="n"/>
    </row>
    <row r="23" collapsed="1" ht="16.5" customHeight="1" thickTop="1">
      <c r="C23" s="476" t="n"/>
      <c r="D23" s="472" t="n"/>
      <c r="E23" s="472" t="n"/>
      <c r="F23" s="472" t="n"/>
      <c r="G23" s="472" t="n"/>
    </row>
    <row r="25" ht="18.75" customHeight="1">
      <c r="C25" s="245" t="inlineStr">
        <is>
          <t>10  Year Return Summary</t>
        </is>
      </c>
    </row>
    <row r="26" ht="15.75" customHeight="1">
      <c r="B26" s="244" t="n"/>
      <c r="C26" s="462" t="inlineStr">
        <is>
          <t>Deal Level</t>
        </is>
      </c>
      <c r="D26" s="463" t="inlineStr">
        <is>
          <t>Exit Cap Rate 6% in-going</t>
        </is>
      </c>
      <c r="E26" s="464" t="n"/>
      <c r="F26" s="464" t="n"/>
    </row>
    <row r="27" ht="15.75" customHeight="1">
      <c r="C27" s="465" t="inlineStr">
        <is>
          <t>IRR</t>
        </is>
      </c>
      <c r="D27" s="466" t="n"/>
      <c r="E27" s="466" t="n"/>
      <c r="F27" s="762">
        <f>AVERAGE('Waterfall (10-yr-S1)'!G31:O31)</f>
        <v/>
      </c>
    </row>
    <row r="28" ht="15.75" customHeight="1">
      <c r="C28" s="465" t="inlineStr">
        <is>
          <t>Equity Multiple</t>
        </is>
      </c>
      <c r="D28" s="466" t="n"/>
      <c r="E28" s="466" t="n"/>
      <c r="F28" s="901">
        <f>'Waterfall (10-yr-S1)'!D31</f>
        <v/>
      </c>
    </row>
    <row r="29" ht="15.75" customHeight="1">
      <c r="C29" s="465" t="inlineStr">
        <is>
          <t>Cash on Cash Avg Y1-Y4</t>
        </is>
      </c>
      <c r="D29" s="466" t="n"/>
      <c r="E29" s="466" t="n"/>
      <c r="F29" s="902">
        <f>AVERAGE('Waterfall (10-yr-S1)'!G31:J31)</f>
        <v/>
      </c>
    </row>
    <row r="33">
      <c r="C33" t="inlineStr">
        <is>
          <t>Summary</t>
        </is>
      </c>
    </row>
    <row r="34" ht="45" customHeight="1">
      <c r="B34" t="n">
        <v>1</v>
      </c>
      <c r="C34" s="146" t="inlineStr">
        <is>
          <t>Expansion land -can fit in 25 additional units for value add-MH zoned</t>
        </is>
      </c>
      <c r="H34" s="750" t="n"/>
    </row>
    <row r="35" ht="30" customHeight="1">
      <c r="B35" t="n">
        <v>2</v>
      </c>
      <c r="C35" s="146" t="inlineStr">
        <is>
          <t>IRR 16% w/seller note + refi</t>
        </is>
      </c>
    </row>
    <row r="36" ht="30" customHeight="1">
      <c r="B36" t="n">
        <v>3</v>
      </c>
      <c r="C36" s="146" t="inlineStr">
        <is>
          <t>pay down seller note w/ sales proceeds</t>
        </is>
      </c>
    </row>
    <row r="37" ht="45" customHeight="1">
      <c r="B37" t="n">
        <v>4</v>
      </c>
      <c r="C37" s="146" t="inlineStr">
        <is>
          <t>go market lot rent $700 by Y3-nearby comps support</t>
        </is>
      </c>
    </row>
    <row r="38" ht="30" customHeight="1">
      <c r="B38" t="n">
        <v>5</v>
      </c>
      <c r="C38" s="146" t="inlineStr">
        <is>
          <t>closer proximity to Brookhaven (15 miles)</t>
        </is>
      </c>
    </row>
    <row r="39" ht="75" customHeight="1">
      <c r="B39" t="n">
        <v>6</v>
      </c>
      <c r="C39" s="146" t="inlineStr">
        <is>
          <t>majority POH-LTO doesn't mature until hold period--no signiciant decline in LTO income</t>
        </is>
      </c>
    </row>
    <row r="40" ht="30" customHeight="1">
      <c r="B40" t="n">
        <v>7</v>
      </c>
      <c r="C40" s="146" t="inlineStr">
        <is>
          <t>opportunity to recapture w/s</t>
        </is>
      </c>
    </row>
    <row r="41">
      <c r="B41" t="n">
        <v>8</v>
      </c>
      <c r="C41" t="inlineStr">
        <is>
          <t>mix of SW/DW</t>
        </is>
      </c>
      <c r="D41" t="inlineStr">
        <is>
          <t xml:space="preserve">DW market lot rent is higher $775 </t>
        </is>
      </c>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6.5" customHeight="1" thickBo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Uses'!E8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ht="15.75" customHeight="1" thickBot="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5" t="n"/>
      <c r="K3" s="335" t="n"/>
    </row>
    <row r="4" ht="15.75" customHeight="1">
      <c r="B4" s="141" t="inlineStr">
        <is>
          <t>Promote Hurdle Method</t>
        </is>
      </c>
      <c r="C4" s="74" t="n"/>
      <c r="D4" s="336" t="inlineStr">
        <is>
          <t>IRR</t>
        </is>
      </c>
      <c r="E4" s="337" t="inlineStr">
        <is>
          <t>GP Catch Up?</t>
        </is>
      </c>
      <c r="F4" s="338" t="n"/>
      <c r="G4" s="338" t="n"/>
      <c r="H4" s="338" t="n"/>
      <c r="I4" s="338" t="n"/>
      <c r="J4" s="335" t="n"/>
      <c r="K4" s="335" t="n"/>
    </row>
    <row r="5" ht="15.75" customHeight="1">
      <c r="B5" s="141" t="inlineStr">
        <is>
          <t># of Tiers</t>
        </is>
      </c>
      <c r="C5" s="74" t="n"/>
      <c r="D5" s="336" t="inlineStr">
        <is>
          <t>3-Tier</t>
        </is>
      </c>
      <c r="E5" s="337" t="n"/>
      <c r="F5" s="338" t="n"/>
      <c r="G5" s="338" t="n"/>
      <c r="H5" s="338" t="n"/>
      <c r="I5" s="338" t="n"/>
      <c r="J5" s="335" t="n"/>
      <c r="K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row>
    <row r="7" ht="5.1" customHeight="1">
      <c r="B7" s="59" t="n"/>
      <c r="C7" s="59" t="n"/>
      <c r="D7" s="341" t="n"/>
      <c r="F7" s="145" t="n"/>
      <c r="G7" s="145" t="n"/>
      <c r="H7" s="145" t="n"/>
      <c r="I7" s="145" t="n"/>
      <c r="J7" s="203" t="n"/>
      <c r="K7" s="203" t="n"/>
    </row>
    <row r="8" ht="16.5" customHeight="1" thickBot="1">
      <c r="B8" s="342" t="inlineStr">
        <is>
          <t>Equity Contributions</t>
        </is>
      </c>
      <c r="C8" s="343" t="inlineStr">
        <is>
          <t>%</t>
        </is>
      </c>
      <c r="D8" s="343" t="inlineStr">
        <is>
          <t>Amount</t>
        </is>
      </c>
      <c r="F8" s="344" t="n"/>
      <c r="G8" s="145" t="n"/>
      <c r="H8" s="145" t="n"/>
      <c r="I8" s="145" t="n"/>
      <c r="J8" s="203" t="n"/>
      <c r="K8" s="203" t="n"/>
    </row>
    <row r="9" ht="15" customHeight="1">
      <c r="B9" s="59" t="inlineStr">
        <is>
          <t>General Partner (GP)</t>
        </is>
      </c>
      <c r="C9" s="905">
        <f>'Sources and Uses'!E8</f>
        <v/>
      </c>
      <c r="D9" s="346">
        <f>Equity_Share_GP*Total_Equity</f>
        <v/>
      </c>
      <c r="E9" s="59" t="n"/>
      <c r="F9" s="347" t="n"/>
      <c r="G9" s="348" t="n"/>
      <c r="H9" s="203" t="n"/>
      <c r="I9" s="203" t="n"/>
      <c r="J9" s="203"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203" t="n"/>
      <c r="K10" s="353" t="inlineStr">
        <is>
          <t>Profit Dist.:</t>
        </is>
      </c>
    </row>
    <row r="11" ht="15.75" customHeight="1" thickBot="1">
      <c r="B11" s="59" t="inlineStr">
        <is>
          <t>Total Equity</t>
        </is>
      </c>
      <c r="C11" s="908" t="n"/>
      <c r="D11" s="346">
        <f>-SUMIF(F51:K51,"&lt;0")</f>
        <v/>
      </c>
      <c r="E11" s="59" t="n"/>
      <c r="F11" s="347" t="n"/>
      <c r="G11" s="348" t="n"/>
      <c r="H11" s="203" t="n"/>
      <c r="I11" s="203" t="n"/>
      <c r="J11" s="203" t="n"/>
      <c r="K11" s="356" t="inlineStr">
        <is>
          <t>Net BTCF:</t>
        </is>
      </c>
    </row>
    <row r="12" ht="5.1" customHeight="1">
      <c r="B12" s="59" t="n"/>
      <c r="C12" s="908" t="n"/>
      <c r="D12" s="910" t="n"/>
      <c r="E12" s="59" t="n"/>
      <c r="F12" s="347" t="n"/>
      <c r="G12" s="348" t="n"/>
      <c r="H12" s="203" t="n"/>
      <c r="I12" s="203" t="n"/>
      <c r="J12" s="203" t="n"/>
      <c r="K12" s="203"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row>
    <row r="16" ht="15" customHeight="1">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row>
    <row r="17" ht="15" customHeight="1">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371" t="n"/>
    </row>
    <row r="18" ht="15" customHeight="1">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371"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row>
    <row r="20" ht="5.1" customHeight="1">
      <c r="B20" s="59" t="n"/>
      <c r="C20" s="59" t="n"/>
      <c r="D20" s="919" t="n"/>
      <c r="E20" s="917" t="n"/>
      <c r="F20" s="348" t="n"/>
      <c r="G20" s="377" t="n"/>
      <c r="H20" s="378" t="n"/>
      <c r="I20" s="378" t="n"/>
      <c r="J20" s="203" t="n"/>
      <c r="K20" s="203" t="n"/>
    </row>
    <row r="21" ht="15.75" customHeight="1">
      <c r="B21" s="342" t="inlineStr">
        <is>
          <t>Summary of Partnership-Level Returns</t>
        </is>
      </c>
      <c r="C21" s="362" t="n"/>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C22" s="59" t="n"/>
      <c r="D22" s="919" t="n"/>
      <c r="E22" s="917" t="n"/>
      <c r="F22" s="383" t="n"/>
      <c r="G22" s="384" t="n"/>
      <c r="H22" s="385" t="n"/>
      <c r="I22" s="385" t="n"/>
      <c r="J22" s="386" t="n"/>
      <c r="K22" s="386" t="n"/>
    </row>
    <row r="23" ht="15" customHeight="1">
      <c r="B23" s="387" t="n"/>
      <c r="C23" s="388" t="inlineStr">
        <is>
          <t>Check</t>
        </is>
      </c>
      <c r="D23" s="389" t="n"/>
      <c r="E23" s="917" t="n"/>
      <c r="F23" s="346" t="n"/>
      <c r="G23" s="346" t="n"/>
      <c r="H23" s="346" t="n"/>
      <c r="I23" s="346" t="n"/>
      <c r="J23" s="346" t="n"/>
      <c r="K23" s="346" t="n"/>
    </row>
    <row r="24" ht="15" customHeight="1">
      <c r="B24" s="387" t="inlineStr">
        <is>
          <t>Preferred Return</t>
        </is>
      </c>
      <c r="C24" s="390">
        <f>IF(ROUND(D24,0)=ROUND(SUM(F24:K24),0),"OK","ERROR")</f>
        <v/>
      </c>
      <c r="D24" s="125">
        <f>(C13="IRR")*(SUM(F97:K97)-D25)+(C13="Equity Multiple")*(SUM(F205:K205)-D25)</f>
        <v/>
      </c>
      <c r="E24" s="917"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917"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393" t="n"/>
      <c r="D27" s="389">
        <f>SUM(F27:K27)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393" t="n"/>
      <c r="D28" s="389">
        <f>SUM(F28:K28)</f>
        <v/>
      </c>
      <c r="E28" s="917" t="n"/>
      <c r="F28" s="346">
        <f>F96</f>
        <v/>
      </c>
      <c r="G28" s="346">
        <f>G96</f>
        <v/>
      </c>
      <c r="H28" s="346">
        <f>H96</f>
        <v/>
      </c>
      <c r="I28" s="346">
        <f>I96</f>
        <v/>
      </c>
      <c r="J28" s="346">
        <f>J96</f>
        <v/>
      </c>
      <c r="K28" s="346">
        <f>K96</f>
        <v/>
      </c>
    </row>
    <row r="29" ht="15" customHeight="1">
      <c r="B29" s="387" t="inlineStr">
        <is>
          <t>Total LP Profit</t>
        </is>
      </c>
      <c r="C29" s="393" t="n"/>
      <c r="D29" s="389">
        <f>D27-D28</f>
        <v/>
      </c>
      <c r="E29" s="917" t="n"/>
      <c r="F29" s="394" t="n"/>
      <c r="G29" s="346" t="n"/>
      <c r="H29" s="395" t="n"/>
      <c r="I29" s="395" t="n"/>
      <c r="J29" s="395" t="n"/>
      <c r="K29" s="395" t="n"/>
    </row>
    <row r="30" ht="15" customHeight="1">
      <c r="B30" s="396" t="inlineStr">
        <is>
          <t>LP IRR</t>
        </is>
      </c>
      <c r="C30" s="397" t="n"/>
      <c r="D30" s="398">
        <f>IRR(F30:K30)</f>
        <v/>
      </c>
      <c r="E30" s="917" t="n"/>
      <c r="F30" s="346">
        <f>IF(F21="","",(-F28)+F27)</f>
        <v/>
      </c>
      <c r="G30" s="346">
        <f>IF(G21="","",(-G28)+G27)</f>
        <v/>
      </c>
      <c r="H30" s="346">
        <f>IF(H21="","",(-H28)+H27)</f>
        <v/>
      </c>
      <c r="I30" s="346">
        <f>IF(I21="","",(-I28)+I27)</f>
        <v/>
      </c>
      <c r="J30" s="346">
        <f>IF(J21="","",(-J28)+J27)</f>
        <v/>
      </c>
      <c r="K30" s="346">
        <f>IF(K21="","",(-K28)+K27)</f>
        <v/>
      </c>
    </row>
    <row r="31" ht="15" customHeight="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row>
    <row r="32" ht="5.1" customHeight="1">
      <c r="B32" s="387" t="n"/>
      <c r="C32" s="393" t="n"/>
      <c r="D32" s="919" t="n"/>
      <c r="E32" s="917" t="n"/>
      <c r="F32" s="394" t="n"/>
      <c r="G32" s="346" t="n"/>
      <c r="H32" s="395" t="n"/>
      <c r="I32" s="395" t="n"/>
      <c r="J32" s="395" t="n"/>
      <c r="K32" s="395" t="n"/>
    </row>
    <row r="33" ht="15" customHeight="1">
      <c r="B33" s="382" t="inlineStr">
        <is>
          <t>GP Returns</t>
        </is>
      </c>
      <c r="C33" s="393" t="n"/>
      <c r="D33" s="919" t="n"/>
      <c r="E33" s="917" t="n"/>
      <c r="F33" s="394" t="n"/>
      <c r="G33" s="346" t="n"/>
      <c r="H33" s="395" t="n"/>
      <c r="I33" s="395" t="n"/>
      <c r="J33" s="395" t="n"/>
      <c r="K33" s="395" t="n"/>
    </row>
    <row r="34" ht="15" customHeight="1">
      <c r="B34" s="387" t="inlineStr">
        <is>
          <t>Preferred Return</t>
        </is>
      </c>
      <c r="C34" s="390">
        <f>IF(ROUND(D34,0)=ROUND(SUM(F34:K34),0),"OK","ERROR")</f>
        <v/>
      </c>
      <c r="D34" s="460">
        <f>(C13="IRR")*(SUM(F105:K105)-D35)+(C13="Equity Multiple")*(SUM(F213:K213)-D35)</f>
        <v/>
      </c>
      <c r="E34" s="917"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917"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393" t="n"/>
      <c r="D38" s="346">
        <f>SUM(F38:K38)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393" t="n"/>
      <c r="D39" s="346">
        <f>SUM(F39:K39)</f>
        <v/>
      </c>
      <c r="E39" s="917"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393" t="n"/>
      <c r="D40" s="346">
        <f>SUM(F40:K40)</f>
        <v/>
      </c>
      <c r="E40" s="917" t="n"/>
      <c r="F40" s="346">
        <f>F104</f>
        <v/>
      </c>
      <c r="G40" s="346">
        <f>G104</f>
        <v/>
      </c>
      <c r="H40" s="346">
        <f>H104</f>
        <v/>
      </c>
      <c r="I40" s="346">
        <f>I104</f>
        <v/>
      </c>
      <c r="J40" s="346">
        <f>J104</f>
        <v/>
      </c>
      <c r="K40" s="346">
        <f>K104</f>
        <v/>
      </c>
    </row>
    <row r="41" ht="15" customHeight="1">
      <c r="B41" s="387" t="inlineStr">
        <is>
          <t>Total GP Profit (Including Fees)</t>
        </is>
      </c>
      <c r="C41" s="393" t="n"/>
      <c r="D41" s="346">
        <f>+D38+D39-D40</f>
        <v/>
      </c>
      <c r="E41" s="917" t="n"/>
      <c r="F41" s="394" t="n"/>
      <c r="G41" s="346" t="n"/>
      <c r="H41" s="395" t="n"/>
      <c r="I41" s="395" t="n"/>
      <c r="J41" s="395" t="n"/>
      <c r="K41" s="395" t="n"/>
    </row>
    <row r="42" ht="15" customHeight="1">
      <c r="B42" s="387" t="inlineStr">
        <is>
          <t>GP IRR</t>
        </is>
      </c>
      <c r="C42" s="393" t="n"/>
      <c r="D42" s="401">
        <f>IFERROR(IRR(F42:K42),"NA")</f>
        <v/>
      </c>
      <c r="E42" s="917"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393" t="n"/>
      <c r="D43" s="925">
        <f>IFERROR(D38/D40,"NA")</f>
        <v/>
      </c>
      <c r="E43" s="917" t="n"/>
      <c r="F43" s="383" t="n"/>
      <c r="G43" s="384" t="n"/>
      <c r="H43" s="385" t="n"/>
      <c r="I43" s="385" t="n"/>
      <c r="J43" s="386" t="n"/>
      <c r="K43" s="386" t="n"/>
    </row>
    <row r="44" ht="5.1" customHeight="1">
      <c r="B44" s="403" t="n"/>
      <c r="C44" s="404" t="n"/>
      <c r="D44" s="926" t="n"/>
      <c r="E44" s="59" t="n"/>
      <c r="F44" s="386" t="n"/>
      <c r="G44" s="386" t="n"/>
      <c r="H44" s="386" t="n"/>
      <c r="I44" s="386" t="n"/>
      <c r="J44" s="386" t="n"/>
      <c r="K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406" t="n"/>
      <c r="M45" s="406" t="n"/>
      <c r="N45" s="406" t="n"/>
    </row>
    <row r="46" ht="15" customHeight="1">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C47" s="59" t="n"/>
      <c r="D47" s="59" t="n"/>
      <c r="E47" s="409"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C49" s="59" t="n"/>
      <c r="D49" s="59" t="n"/>
      <c r="E49" s="409" t="n"/>
      <c r="F49" s="410">
        <f>'Sources and Uses'!C15</f>
        <v/>
      </c>
      <c r="G49" s="410" t="n">
        <v>0</v>
      </c>
      <c r="H49" s="410" t="n">
        <v>0</v>
      </c>
      <c r="I49" s="410" t="n">
        <v>0</v>
      </c>
      <c r="J49" s="410" t="n">
        <v>0</v>
      </c>
      <c r="K49" s="410" t="n">
        <v>0</v>
      </c>
    </row>
    <row r="50" ht="15" customHeight="1">
      <c r="B50" s="411" t="n"/>
      <c r="C50" s="59" t="n"/>
      <c r="D50" s="59" t="n"/>
      <c r="E50" s="409" t="n"/>
      <c r="F50" s="410" t="n"/>
      <c r="G50" s="410" t="n"/>
      <c r="H50" s="410" t="n"/>
      <c r="I50" s="410" t="n"/>
      <c r="J50" s="410" t="n"/>
      <c r="K50" s="410" t="n"/>
    </row>
    <row r="51" ht="15" customHeight="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C52" s="59" t="n"/>
      <c r="D52" s="59" t="n"/>
      <c r="E52" s="59" t="n"/>
      <c r="F52" s="385">
        <f>IRR(F51:K51)</f>
        <v/>
      </c>
      <c r="G52" s="386" t="n"/>
      <c r="H52" s="386" t="n"/>
      <c r="I52" s="386" t="n"/>
      <c r="J52" s="386" t="n"/>
      <c r="K52" s="386" t="n"/>
    </row>
    <row r="53" ht="15" customHeight="1">
      <c r="B53" s="59" t="inlineStr">
        <is>
          <t>Equity Multiple</t>
        </is>
      </c>
      <c r="C53" s="59" t="n"/>
      <c r="D53" s="59" t="n"/>
      <c r="E53" s="59" t="n"/>
      <c r="F53" s="929">
        <f>SUMIF(F51:K51,"&gt;0")/-SUMIF(F51:K51,"&lt;0")</f>
        <v/>
      </c>
      <c r="G53" s="386" t="n"/>
      <c r="H53" s="386" t="n"/>
      <c r="I53" s="386" t="n"/>
      <c r="J53" s="386" t="n"/>
      <c r="K53" s="386" t="n"/>
    </row>
    <row r="54" ht="5.1" customHeight="1">
      <c r="B54" s="59" t="n"/>
      <c r="C54" s="59" t="n"/>
      <c r="D54" s="59" t="n"/>
      <c r="E54" s="386" t="n"/>
      <c r="F54" s="414" t="n"/>
      <c r="G54" s="386" t="n"/>
      <c r="H54" s="386" t="n"/>
      <c r="I54" s="386" t="n"/>
      <c r="J54" s="386" t="n"/>
      <c r="K54" s="386" t="n"/>
    </row>
    <row r="55" ht="15" customHeight="1"/>
    <row r="56" outlineLevel="1" ht="18.75" customHeight="1">
      <c r="B56" s="415" t="inlineStr">
        <is>
          <t>PARTNERSHIP LEVEL RETURNS - IRR EQUITY WATERFALL</t>
        </is>
      </c>
      <c r="C56" s="416" t="n"/>
      <c r="D56" s="416" t="n"/>
      <c r="E56" s="416" t="n"/>
      <c r="F56" s="417" t="n"/>
      <c r="G56" s="417" t="n"/>
      <c r="H56" s="417" t="n"/>
      <c r="I56" s="417" t="n"/>
      <c r="J56" s="417" t="n"/>
      <c r="K56" s="417" t="n"/>
    </row>
    <row r="57" outlineLevel="1" ht="15" customHeight="1">
      <c r="B57" s="203" t="n"/>
      <c r="C57" s="203" t="n"/>
      <c r="D57" s="634">
        <f>$D$4</f>
        <v/>
      </c>
      <c r="E57" s="203" t="n"/>
      <c r="F57" s="203" t="n"/>
      <c r="G57" s="203" t="n"/>
      <c r="H57" s="203" t="n"/>
      <c r="I57" s="203" t="n"/>
      <c r="J57" s="203" t="n"/>
      <c r="K57" s="203" t="n"/>
    </row>
    <row r="58" outlineLevel="1" ht="15" customHeight="1">
      <c r="B58" s="418" t="n"/>
      <c r="C58" s="418" t="n"/>
      <c r="D58" s="419" t="n"/>
      <c r="E58" s="418" t="n"/>
      <c r="F58" s="797" t="inlineStr">
        <is>
          <t>Promote Structure Incentive Breakdown</t>
        </is>
      </c>
      <c r="H58" s="798" t="inlineStr">
        <is>
          <t>Distribution as %</t>
        </is>
      </c>
      <c r="J58" s="420" t="n"/>
      <c r="K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row>
    <row r="60" outlineLevel="1" ht="15" customHeight="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row>
    <row r="64" outlineLevel="1" ht="15" customHeight="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row>
    <row r="65" outlineLevel="1" ht="15" customHeight="1">
      <c r="B65" s="59" t="n"/>
      <c r="C65" s="59" t="n"/>
      <c r="D65" s="919" t="n"/>
      <c r="E65" s="917" t="n"/>
      <c r="F65" s="348" t="n"/>
      <c r="G65" s="377" t="n"/>
      <c r="H65" s="378" t="n"/>
      <c r="I65" s="378" t="n"/>
      <c r="J65" s="203" t="n"/>
      <c r="K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row>
    <row r="67" outlineLevel="1" ht="15" customHeight="1">
      <c r="B67" s="382" t="inlineStr">
        <is>
          <t>Limited Partner (LP) Returns</t>
        </is>
      </c>
      <c r="C67" s="59" t="n"/>
      <c r="D67" s="919" t="n"/>
      <c r="E67" s="917" t="n"/>
      <c r="F67" s="383" t="n"/>
      <c r="G67" s="384" t="n"/>
      <c r="H67" s="385" t="n"/>
      <c r="I67" s="385" t="n"/>
      <c r="J67" s="386" t="n"/>
      <c r="K67" s="386" t="n"/>
    </row>
    <row r="68" outlineLevel="1" ht="15" customHeight="1">
      <c r="B68" s="387" t="inlineStr">
        <is>
          <t>Total LP Distributions</t>
        </is>
      </c>
      <c r="C68" s="59" t="n"/>
      <c r="D68" s="389">
        <f>SUM(F68:K68)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C69" s="59" t="n"/>
      <c r="D69" s="389">
        <f>SUM(F69:K69)</f>
        <v/>
      </c>
      <c r="E69" s="917" t="n"/>
      <c r="F69" s="346">
        <f>F96</f>
        <v/>
      </c>
      <c r="G69" s="346">
        <f>G96</f>
        <v/>
      </c>
      <c r="H69" s="346">
        <f>H96</f>
        <v/>
      </c>
      <c r="I69" s="346">
        <f>I96</f>
        <v/>
      </c>
      <c r="J69" s="346">
        <f>J96</f>
        <v/>
      </c>
      <c r="K69" s="346">
        <f>K96</f>
        <v/>
      </c>
    </row>
    <row r="70" outlineLevel="1" ht="15" customHeight="1">
      <c r="B70" s="387" t="inlineStr">
        <is>
          <t>Total LP Profit</t>
        </is>
      </c>
      <c r="C70" s="59" t="n"/>
      <c r="D70" s="389">
        <f>D68-D69</f>
        <v/>
      </c>
      <c r="E70" s="917" t="n"/>
      <c r="F70" s="394" t="n"/>
      <c r="G70" s="346" t="n"/>
      <c r="H70" s="395" t="n"/>
      <c r="I70" s="395" t="n"/>
      <c r="J70" s="395" t="n"/>
      <c r="K70" s="395" t="n"/>
    </row>
    <row r="71" outlineLevel="1" ht="15" customHeight="1">
      <c r="B71" s="387" t="inlineStr">
        <is>
          <t>LP IRR</t>
        </is>
      </c>
      <c r="C71" s="59" t="n"/>
      <c r="D71" s="430">
        <f>IRR(F71:K71)</f>
        <v/>
      </c>
      <c r="E71" s="917"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C72" s="59" t="n"/>
      <c r="D72" s="935">
        <f>D68/D69</f>
        <v/>
      </c>
      <c r="E72" s="917" t="n"/>
      <c r="F72" s="394" t="n"/>
      <c r="G72" s="346" t="n"/>
      <c r="H72" s="395" t="n"/>
      <c r="I72" s="395" t="n"/>
      <c r="J72" s="395" t="n"/>
      <c r="K72" s="395" t="n"/>
    </row>
    <row r="73" outlineLevel="1" ht="15" customHeight="1">
      <c r="B73" s="387" t="n"/>
      <c r="C73" s="59" t="n"/>
      <c r="D73" s="919" t="n"/>
      <c r="E73" s="917" t="n"/>
      <c r="F73" s="394" t="n"/>
      <c r="G73" s="346" t="n"/>
      <c r="H73" s="395" t="n"/>
      <c r="I73" s="395" t="n"/>
      <c r="J73" s="395" t="n"/>
      <c r="K73" s="395" t="n"/>
    </row>
    <row r="74" outlineLevel="1" ht="15" customHeight="1">
      <c r="B74" s="382" t="inlineStr">
        <is>
          <t>GP Returns</t>
        </is>
      </c>
      <c r="C74" s="59" t="n"/>
      <c r="D74" s="919" t="n"/>
      <c r="E74" s="917" t="n"/>
      <c r="F74" s="394" t="n"/>
      <c r="G74" s="346" t="n"/>
      <c r="H74" s="395" t="n"/>
      <c r="I74" s="395" t="n"/>
      <c r="J74" s="395" t="n"/>
      <c r="K74" s="395" t="n"/>
    </row>
    <row r="75" outlineLevel="1" ht="15" customHeight="1">
      <c r="B75" s="387" t="inlineStr">
        <is>
          <t>Total GP Distributions</t>
        </is>
      </c>
      <c r="C75" s="59" t="n"/>
      <c r="D75" s="346">
        <f>SUM(F75:K75)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C76" s="59" t="n"/>
      <c r="D76" s="346">
        <f>SUM(F76:K76)</f>
        <v/>
      </c>
      <c r="E76" s="917"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C77" s="59" t="n"/>
      <c r="D77" s="346">
        <f>SUM(F77:K77)</f>
        <v/>
      </c>
      <c r="E77" s="917"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C78" s="59" t="n"/>
      <c r="D78" s="346">
        <f>+D75+D76-D77</f>
        <v/>
      </c>
      <c r="E78" s="917" t="n"/>
      <c r="F78" s="394" t="n"/>
      <c r="G78" s="346" t="n"/>
      <c r="H78" s="395" t="n"/>
      <c r="I78" s="395" t="n"/>
      <c r="J78" s="395" t="n"/>
      <c r="K78" s="395" t="n"/>
    </row>
    <row r="79" outlineLevel="1" ht="15" customHeight="1">
      <c r="B79" s="387" t="inlineStr">
        <is>
          <t>GP IRR</t>
        </is>
      </c>
      <c r="C79" s="59" t="n"/>
      <c r="D79" s="401">
        <f>IFERROR(IRR(F79:K79),"NA")</f>
        <v/>
      </c>
      <c r="E79" s="917"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C80" s="59" t="n"/>
      <c r="D80" s="925">
        <f>IFERROR(D75/D77,"NA")</f>
        <v/>
      </c>
      <c r="E80" s="917" t="n"/>
      <c r="F80" s="383" t="n"/>
      <c r="G80" s="384" t="n"/>
      <c r="H80" s="385" t="n"/>
      <c r="I80" s="385" t="n"/>
      <c r="J80" s="386" t="n"/>
      <c r="K80" s="386" t="n"/>
    </row>
    <row r="81" outlineLevel="1" ht="15" customHeight="1">
      <c r="B81" s="403" t="n"/>
      <c r="C81" s="404" t="n"/>
      <c r="D81" s="926" t="n"/>
      <c r="E81" s="59" t="n"/>
      <c r="F81" s="386" t="n"/>
      <c r="G81" s="386" t="n"/>
      <c r="H81" s="386" t="n"/>
      <c r="I81" s="386" t="n"/>
      <c r="J81" s="386" t="n"/>
      <c r="K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row>
    <row r="83" outlineLevel="1" ht="15" customHeight="1">
      <c r="B83" s="59" t="n"/>
      <c r="C83" s="59" t="n"/>
      <c r="D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C84" s="59" t="n"/>
      <c r="D84" s="59" t="n"/>
      <c r="E84" s="409" t="n"/>
      <c r="F84" s="434">
        <f>IF(F47="","",F47)</f>
        <v/>
      </c>
      <c r="G84" s="434">
        <f>IF(G47="","",G47)</f>
        <v/>
      </c>
      <c r="H84" s="434">
        <f>IF(H47="","",H47)</f>
        <v/>
      </c>
      <c r="I84" s="434">
        <f>IF(I47="","",I47)</f>
        <v/>
      </c>
      <c r="J84" s="434">
        <f>IF(J47="","",J47)</f>
        <v/>
      </c>
      <c r="K84" s="434">
        <f>IF(K47="","",K47)</f>
        <v/>
      </c>
    </row>
    <row r="85" outlineLevel="1" ht="15" customHeight="1">
      <c r="B85" s="435">
        <f>IF(B48="","",B48)</f>
        <v/>
      </c>
      <c r="C85" s="59" t="n"/>
      <c r="D85" s="59" t="n"/>
      <c r="E85" s="409" t="n"/>
      <c r="F85" s="434">
        <f>IF(F48="","",F48)</f>
        <v/>
      </c>
      <c r="G85" s="434">
        <f>IF(G48="","",G48)</f>
        <v/>
      </c>
      <c r="H85" s="434">
        <f>IF(H48="","",H48)</f>
        <v/>
      </c>
      <c r="I85" s="434">
        <f>IF(I48="","",I48)</f>
        <v/>
      </c>
      <c r="J85" s="434">
        <f>IF(J48="","",J48)</f>
        <v/>
      </c>
      <c r="K85" s="434">
        <f>IF(K48="","",K48)</f>
        <v/>
      </c>
    </row>
    <row r="86" outlineLevel="1" ht="15" customHeight="1">
      <c r="B86" s="435">
        <f>IF(B49="","",B49)</f>
        <v/>
      </c>
      <c r="C86" s="59" t="n"/>
      <c r="D86" s="59" t="n"/>
      <c r="E86" s="409"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C88" s="59" t="n"/>
      <c r="D88" s="59" t="n"/>
      <c r="E88" s="59" t="n"/>
      <c r="F88" s="385">
        <f>IRR(F87:K87)</f>
        <v/>
      </c>
      <c r="G88" s="386" t="n"/>
      <c r="H88" s="386" t="n"/>
      <c r="I88" s="386" t="n"/>
      <c r="J88" s="386" t="n"/>
      <c r="K88" s="386" t="n"/>
    </row>
    <row r="89" outlineLevel="1" ht="15" customHeight="1">
      <c r="B89" s="59" t="inlineStr">
        <is>
          <t>Equity Multiple</t>
        </is>
      </c>
      <c r="C89" s="59" t="n"/>
      <c r="D89" s="59" t="n"/>
      <c r="E89" s="59" t="n"/>
      <c r="F89" s="929">
        <f>SUMIF(F87:K87,"&gt;0")/-SUMIF(F87:K87,"&lt;0")</f>
        <v/>
      </c>
      <c r="G89" s="386" t="n"/>
      <c r="H89" s="386" t="n"/>
      <c r="I89" s="386" t="n"/>
      <c r="J89" s="386" t="n"/>
      <c r="K89" s="386" t="n"/>
    </row>
    <row r="90" outlineLevel="1" ht="15" customHeight="1">
      <c r="B90" s="59" t="n"/>
      <c r="C90" s="59" t="n"/>
      <c r="D90" s="59" t="n"/>
      <c r="E90" s="386" t="n"/>
      <c r="F90" s="414" t="n"/>
      <c r="G90" s="386" t="n"/>
      <c r="H90" s="386" t="n"/>
      <c r="I90" s="386" t="n"/>
      <c r="J90" s="386" t="n"/>
      <c r="K90" s="386" t="n"/>
    </row>
    <row r="91" outlineLevel="1" ht="15.75" customHeight="1">
      <c r="B91" s="421" t="inlineStr">
        <is>
          <t>Tier 1 - Preferred Return + Return of Capital</t>
        </is>
      </c>
      <c r="C91" s="418" t="n"/>
      <c r="D91" s="418" t="n"/>
      <c r="E91" s="418" t="n"/>
      <c r="F91" s="419" t="n"/>
      <c r="G91" s="436" t="n"/>
      <c r="H91" s="419" t="n"/>
      <c r="I91" s="419" t="n"/>
      <c r="J91" s="419" t="n"/>
      <c r="K91" s="419" t="n"/>
    </row>
    <row r="92" outlineLevel="1" ht="15" customHeight="1">
      <c r="B92" s="437" t="inlineStr">
        <is>
          <t>Return Threshold - Up to:</t>
        </is>
      </c>
      <c r="C92" s="938">
        <f>E60</f>
        <v/>
      </c>
      <c r="D92" s="418" t="n"/>
      <c r="E92" s="418" t="n"/>
      <c r="F92" s="419" t="inlineStr">
        <is>
          <t>Year 0</t>
        </is>
      </c>
      <c r="G92" s="934">
        <f>G$21</f>
        <v/>
      </c>
      <c r="H92" s="934">
        <f>H$21</f>
        <v/>
      </c>
      <c r="I92" s="934">
        <f>I$21</f>
        <v/>
      </c>
      <c r="J92" s="934">
        <f>J$21</f>
        <v/>
      </c>
      <c r="K92" s="934">
        <f>K$21</f>
        <v/>
      </c>
    </row>
    <row r="93" outlineLevel="1" ht="15" customHeight="1">
      <c r="B93" s="59" t="inlineStr">
        <is>
          <t>Beginning Balance (LP Capital Account)</t>
        </is>
      </c>
      <c r="C93" s="59" t="n"/>
      <c r="D93" s="59" t="n"/>
      <c r="E93" s="59" t="n"/>
      <c r="F93" s="395">
        <f>IF(F92="","",E98)</f>
        <v/>
      </c>
      <c r="G93" s="395">
        <f>IF(G92="","",F98)</f>
        <v/>
      </c>
      <c r="H93" s="395">
        <f>IF(H92="","",G98)</f>
        <v/>
      </c>
      <c r="I93" s="395">
        <f>IF(I92="","",H98)</f>
        <v/>
      </c>
      <c r="J93" s="395">
        <f>IF(J92="","",I98)</f>
        <v/>
      </c>
      <c r="K93" s="395">
        <f>IF(K92="","",J98)</f>
        <v/>
      </c>
    </row>
    <row r="94" outlineLevel="1" ht="15" customHeight="1">
      <c r="B94" s="59" t="inlineStr">
        <is>
          <t>LP Return of Capital</t>
        </is>
      </c>
      <c r="C94" s="59" t="n"/>
      <c r="D94" s="59" t="n"/>
      <c r="E94" s="59" t="n"/>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C99" s="59" t="n"/>
      <c r="D99" s="59" t="n"/>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C101" s="59" t="n"/>
      <c r="D101" s="59" t="n"/>
      <c r="E101" s="59" t="n"/>
      <c r="F101" s="395" t="n"/>
      <c r="G101" s="395" t="n"/>
      <c r="H101" s="395" t="n"/>
      <c r="I101" s="395" t="n"/>
      <c r="J101" s="395" t="n"/>
      <c r="K101" s="395" t="n"/>
    </row>
    <row r="102" outlineLevel="1" ht="15" customHeight="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C107" s="59" t="n"/>
      <c r="D107" s="59" t="n"/>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C108" s="59" t="n"/>
      <c r="D108" s="59" t="n"/>
      <c r="E108" s="59" t="n"/>
      <c r="F108" s="395" t="n"/>
      <c r="G108" s="346" t="n"/>
      <c r="H108" s="346" t="n"/>
      <c r="I108" s="346" t="n"/>
      <c r="J108" s="346" t="n"/>
      <c r="K108" s="346" t="n"/>
    </row>
    <row r="109" outlineLevel="1" ht="15" customHeight="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C111" s="59" t="n"/>
      <c r="D111" s="59" t="n"/>
      <c r="E111" s="59" t="n"/>
      <c r="F111" s="386" t="n"/>
      <c r="G111" s="386" t="n"/>
      <c r="H111" s="386" t="n"/>
      <c r="I111" s="386" t="n"/>
      <c r="J111" s="386" t="n"/>
      <c r="K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D113" s="59" t="n"/>
      <c r="E113" s="59" t="n"/>
      <c r="F113" s="386" t="n"/>
      <c r="G113" s="940" t="n"/>
      <c r="H113" s="940" t="n"/>
      <c r="I113" s="940" t="n"/>
      <c r="J113" s="940" t="n"/>
      <c r="K113" s="940" t="n"/>
    </row>
    <row r="114" outlineLevel="1" ht="15" customHeight="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C117" s="59" t="n"/>
      <c r="D117" s="59" t="n"/>
      <c r="E117" s="59" t="n"/>
      <c r="F117" s="395">
        <f>F100</f>
        <v/>
      </c>
      <c r="G117" s="395">
        <f>G100</f>
        <v/>
      </c>
      <c r="H117" s="395">
        <f>H100</f>
        <v/>
      </c>
      <c r="I117" s="395">
        <f>I100</f>
        <v/>
      </c>
      <c r="J117" s="395">
        <f>J100</f>
        <v/>
      </c>
      <c r="K117" s="395">
        <f>K100</f>
        <v/>
      </c>
    </row>
    <row r="118" outlineLevel="1" ht="15" customHeight="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C120" s="59" t="n"/>
      <c r="D120" s="59" t="n"/>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74" t="n"/>
      <c r="D121" s="74" t="n"/>
      <c r="E121" s="74" t="n"/>
      <c r="F121" s="446" t="n"/>
      <c r="G121" s="446" t="n"/>
      <c r="H121" s="446" t="n"/>
      <c r="I121" s="446" t="n"/>
      <c r="J121" s="446" t="n"/>
      <c r="K121" s="446" t="n"/>
    </row>
    <row r="122" outlineLevel="1" ht="15" customHeight="1">
      <c r="B122" s="59" t="inlineStr">
        <is>
          <t>Distribution to LP</t>
        </is>
      </c>
      <c r="C122" s="59" t="n"/>
      <c r="D122" s="59" t="n"/>
      <c r="E122" s="59" t="n"/>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C126" s="59" t="n"/>
      <c r="D126" s="59" t="n"/>
      <c r="E126" s="59" t="n"/>
      <c r="F126" s="386" t="n"/>
      <c r="G126" s="386" t="n"/>
      <c r="H126" s="386" t="n"/>
      <c r="I126" s="386" t="n"/>
      <c r="J126" s="386" t="n"/>
      <c r="K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D128" s="59" t="n"/>
      <c r="E128" s="59" t="n"/>
      <c r="F128" s="386" t="n"/>
      <c r="G128" s="940" t="n"/>
      <c r="H128" s="940" t="n"/>
      <c r="I128" s="940" t="n"/>
      <c r="J128" s="940" t="n"/>
      <c r="K128" s="940" t="n"/>
    </row>
    <row r="129" outlineLevel="1" ht="15" customHeight="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C135" s="59" t="n"/>
      <c r="D135" s="59" t="n"/>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74" t="n"/>
      <c r="D136" s="74" t="n"/>
      <c r="E136" s="74" t="n"/>
      <c r="F136" s="446" t="n"/>
      <c r="G136" s="446" t="n"/>
      <c r="H136" s="446" t="n"/>
      <c r="I136" s="446" t="n"/>
      <c r="J136" s="446" t="n"/>
      <c r="K136" s="446" t="n"/>
    </row>
    <row r="137" outlineLevel="1" ht="15" customHeight="1">
      <c r="B137" s="59" t="inlineStr">
        <is>
          <t>Distribution to LP</t>
        </is>
      </c>
      <c r="C137" s="59" t="n"/>
      <c r="D137" s="59" t="n"/>
      <c r="E137" s="59" t="n"/>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C141" s="59" t="n"/>
      <c r="D141" s="59" t="n"/>
      <c r="E141" s="59" t="n"/>
      <c r="F141" s="386" t="n"/>
      <c r="G141" s="386" t="n"/>
      <c r="H141" s="386" t="n"/>
      <c r="I141" s="386" t="n"/>
      <c r="J141" s="386" t="n"/>
      <c r="K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D143" s="59" t="n"/>
      <c r="E143" s="59" t="n"/>
      <c r="F143" s="386" t="n"/>
      <c r="G143" s="940" t="n"/>
      <c r="H143" s="940" t="n"/>
      <c r="I143" s="940" t="n"/>
      <c r="J143" s="940" t="n"/>
      <c r="K143" s="940" t="n"/>
    </row>
    <row r="144" outlineLevel="1" ht="15" customHeight="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C150" s="59" t="n"/>
      <c r="D150" s="59" t="n"/>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74" t="n"/>
      <c r="D151" s="74" t="n"/>
      <c r="E151" s="74" t="n"/>
      <c r="F151" s="446" t="n"/>
      <c r="G151" s="446" t="n"/>
      <c r="H151" s="446" t="n"/>
      <c r="I151" s="446" t="n"/>
      <c r="J151" s="446" t="n"/>
      <c r="K151" s="446" t="n"/>
    </row>
    <row r="152" outlineLevel="1" ht="15" customHeight="1">
      <c r="B152" s="59" t="inlineStr">
        <is>
          <t>Distribution to LP</t>
        </is>
      </c>
      <c r="C152" s="59" t="n"/>
      <c r="D152" s="59" t="n"/>
      <c r="E152" s="59" t="n"/>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C156" s="59" t="n"/>
      <c r="D156" s="59" t="n"/>
      <c r="E156" s="59" t="n"/>
      <c r="F156" s="386" t="n"/>
      <c r="G156" s="386" t="n"/>
      <c r="H156" s="386" t="n"/>
      <c r="I156" s="386" t="n"/>
      <c r="J156" s="386" t="n"/>
      <c r="K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D158" s="59" t="n"/>
      <c r="E158" s="59" t="n"/>
      <c r="F158" s="386" t="n"/>
      <c r="G158" s="940" t="n"/>
      <c r="H158" s="940" t="n"/>
      <c r="I158" s="940" t="n"/>
      <c r="J158" s="940" t="n"/>
      <c r="K158" s="940" t="n"/>
    </row>
    <row r="159" outlineLevel="1" ht="15" customHeight="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row>
    <row r="165" outlineLevel="1" ht="5.1" customHeight="1">
      <c r="B165" s="203" t="n"/>
      <c r="C165" s="203" t="n"/>
      <c r="D165" s="335" t="inlineStr">
        <is>
          <t>Equity Multiple</t>
        </is>
      </c>
      <c r="E165" s="203" t="n"/>
      <c r="F165" s="203" t="n"/>
      <c r="G165" s="203" t="n"/>
      <c r="H165" s="203" t="n"/>
      <c r="I165" s="203" t="n"/>
      <c r="J165" s="203" t="n"/>
      <c r="K165" s="203" t="n"/>
    </row>
    <row r="166" outlineLevel="1" ht="15" customHeight="1">
      <c r="B166" s="418" t="n"/>
      <c r="C166" s="418" t="n"/>
      <c r="D166" s="419" t="n"/>
      <c r="E166" s="418" t="n"/>
      <c r="F166" s="797" t="inlineStr">
        <is>
          <t>Promote Structure Incentive Breakdown</t>
        </is>
      </c>
      <c r="H166" s="798" t="inlineStr">
        <is>
          <t>Distribution as %</t>
        </is>
      </c>
      <c r="J166" s="420" t="n"/>
      <c r="K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row>
    <row r="168" outlineLevel="1" ht="15" customHeight="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row>
    <row r="172" outlineLevel="1" ht="15" customHeight="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row>
    <row r="173" outlineLevel="1" ht="15" customHeight="1">
      <c r="B173" s="59" t="n"/>
      <c r="C173" s="59" t="n"/>
      <c r="D173" s="919" t="n"/>
      <c r="E173" s="917" t="n"/>
      <c r="F173" s="348" t="n"/>
      <c r="G173" s="377" t="n"/>
      <c r="H173" s="378" t="n"/>
      <c r="I173" s="378" t="n"/>
      <c r="J173" s="203" t="n"/>
      <c r="K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C175" s="59" t="n"/>
      <c r="D175" s="919" t="n"/>
      <c r="E175" s="917" t="n"/>
      <c r="F175" s="383" t="n"/>
      <c r="G175" s="384" t="n"/>
      <c r="H175" s="385" t="n"/>
      <c r="I175" s="385" t="n"/>
      <c r="J175" s="386" t="n"/>
      <c r="K175" s="386" t="n"/>
    </row>
    <row r="176" outlineLevel="1" ht="15" customHeight="1">
      <c r="B176" s="387" t="inlineStr">
        <is>
          <t>Total LP Distributions</t>
        </is>
      </c>
      <c r="C176" s="59" t="n"/>
      <c r="D176" s="389">
        <f>SUM(F176:K176)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C177" s="59" t="n"/>
      <c r="D177" s="389">
        <f>SUM(F177:K177)</f>
        <v/>
      </c>
      <c r="E177" s="917" t="n"/>
      <c r="F177" s="346">
        <f>F204</f>
        <v/>
      </c>
      <c r="G177" s="346">
        <f>G204</f>
        <v/>
      </c>
      <c r="H177" s="346">
        <f>H204</f>
        <v/>
      </c>
      <c r="I177" s="346">
        <f>I204</f>
        <v/>
      </c>
      <c r="J177" s="346">
        <f>J204</f>
        <v/>
      </c>
      <c r="K177" s="346">
        <f>K204</f>
        <v/>
      </c>
    </row>
    <row r="178" outlineLevel="1" ht="15" customHeight="1">
      <c r="B178" s="387" t="inlineStr">
        <is>
          <t>Total LP Profit</t>
        </is>
      </c>
      <c r="C178" s="59" t="n"/>
      <c r="D178" s="389">
        <f>D176-D177</f>
        <v/>
      </c>
      <c r="E178" s="917" t="n"/>
      <c r="F178" s="394" t="n"/>
      <c r="G178" s="346" t="n"/>
      <c r="H178" s="395" t="n"/>
      <c r="I178" s="395" t="n"/>
      <c r="J178" s="395" t="n"/>
      <c r="K178" s="395" t="n"/>
    </row>
    <row r="179" outlineLevel="1" ht="15" customHeight="1">
      <c r="B179" s="387" t="inlineStr">
        <is>
          <t>LP IRR</t>
        </is>
      </c>
      <c r="C179" s="59" t="n"/>
      <c r="D179" s="430">
        <f>IRR(F179:K179)</f>
        <v/>
      </c>
      <c r="E179" s="917"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C180" s="59" t="n"/>
      <c r="D180" s="935">
        <f>D176/D177</f>
        <v/>
      </c>
      <c r="E180" s="917" t="n"/>
      <c r="F180" s="394" t="n"/>
      <c r="G180" s="346" t="n"/>
      <c r="H180" s="395" t="n"/>
      <c r="I180" s="395" t="n"/>
      <c r="J180" s="395" t="n"/>
      <c r="K180" s="395" t="n"/>
    </row>
    <row r="181" outlineLevel="1" ht="15" customHeight="1">
      <c r="B181" s="387" t="n"/>
      <c r="C181" s="59" t="n"/>
      <c r="D181" s="919" t="n"/>
      <c r="E181" s="917" t="n"/>
      <c r="F181" s="394" t="n"/>
      <c r="G181" s="346" t="n"/>
      <c r="H181" s="395" t="n"/>
      <c r="I181" s="395" t="n"/>
      <c r="J181" s="395" t="n"/>
      <c r="K181" s="395" t="n"/>
    </row>
    <row r="182" outlineLevel="1" ht="15" customHeight="1">
      <c r="B182" s="382" t="inlineStr">
        <is>
          <t>GP Returns</t>
        </is>
      </c>
      <c r="C182" s="59" t="n"/>
      <c r="D182" s="919" t="n"/>
      <c r="E182" s="917" t="n"/>
      <c r="F182" s="394" t="n"/>
      <c r="G182" s="346" t="n"/>
      <c r="H182" s="395" t="n"/>
      <c r="I182" s="395" t="n"/>
      <c r="J182" s="395" t="n"/>
      <c r="K182" s="395" t="n"/>
    </row>
    <row r="183" outlineLevel="1" ht="15" customHeight="1">
      <c r="B183" s="387" t="inlineStr">
        <is>
          <t>Total GP Distributions</t>
        </is>
      </c>
      <c r="C183" s="59" t="n"/>
      <c r="D183" s="346">
        <f>SUM(F183:K183)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C184" s="59" t="n"/>
      <c r="D184" s="346">
        <f>SUM(F184:K184)</f>
        <v/>
      </c>
      <c r="E184" s="917"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C185" s="59" t="n"/>
      <c r="D185" s="346">
        <f>SUM(F185:K185)</f>
        <v/>
      </c>
      <c r="E185" s="917"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C186" s="59" t="n"/>
      <c r="D186" s="346">
        <f>+D183+D184-D185</f>
        <v/>
      </c>
      <c r="E186" s="917" t="n"/>
      <c r="F186" s="394" t="n"/>
      <c r="G186" s="346" t="n"/>
      <c r="H186" s="395" t="n"/>
      <c r="I186" s="395" t="n"/>
      <c r="J186" s="395" t="n"/>
      <c r="K186" s="395" t="n"/>
    </row>
    <row r="187" outlineLevel="1" ht="15" customHeight="1">
      <c r="B187" s="387" t="inlineStr">
        <is>
          <t>GP IRR</t>
        </is>
      </c>
      <c r="C187" s="59" t="n"/>
      <c r="D187" s="401">
        <f>IFERROR(IRR(F187:K187),"NA")</f>
        <v/>
      </c>
      <c r="E187" s="917"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C188" s="59" t="n"/>
      <c r="D188" s="925">
        <f>IFERROR(D183/D185,"NA")</f>
        <v/>
      </c>
      <c r="E188" s="917" t="n"/>
      <c r="F188" s="383" t="n"/>
      <c r="G188" s="384" t="n"/>
      <c r="H188" s="385" t="n"/>
      <c r="I188" s="385" t="n"/>
      <c r="J188" s="386" t="n"/>
      <c r="K188" s="386" t="n"/>
    </row>
    <row r="189" outlineLevel="1" ht="15" customHeight="1">
      <c r="B189" s="403" t="n"/>
      <c r="C189" s="404" t="n"/>
      <c r="D189" s="926" t="n"/>
      <c r="E189" s="59" t="n"/>
      <c r="F189" s="386" t="n"/>
      <c r="G189" s="386" t="n"/>
      <c r="H189" s="386" t="n"/>
      <c r="I189" s="386" t="n"/>
      <c r="J189" s="386" t="n"/>
      <c r="K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row>
    <row r="191" outlineLevel="1" ht="15" customHeight="1">
      <c r="B191" s="449" t="n"/>
      <c r="C191" s="449" t="n"/>
      <c r="D191" s="449"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row>
    <row r="193" outlineLevel="1" ht="15" customHeight="1">
      <c r="B193" s="435">
        <f>IF(B48="","",B48)</f>
        <v/>
      </c>
      <c r="C193" s="449" t="n"/>
      <c r="D193" s="449" t="n"/>
      <c r="E193" s="451" t="n"/>
      <c r="F193" s="434">
        <f>IF(F48="","",F48)</f>
        <v/>
      </c>
      <c r="G193" s="434">
        <f>IF(G48="","",G48)</f>
        <v/>
      </c>
      <c r="H193" s="434">
        <f>IF(H48="","",H48)</f>
        <v/>
      </c>
      <c r="I193" s="434">
        <f>IF(I48="","",I48)</f>
        <v/>
      </c>
      <c r="J193" s="434">
        <f>IF(J48="","",J48)</f>
        <v/>
      </c>
      <c r="K193" s="434">
        <f>IF(K48="","",K48)</f>
        <v/>
      </c>
    </row>
    <row r="194" outlineLevel="1" ht="15" customHeight="1">
      <c r="B194" s="435">
        <f>IF(B49="","",B49)</f>
        <v/>
      </c>
      <c r="C194" s="449" t="n"/>
      <c r="D194" s="449" t="n"/>
      <c r="E194" s="451"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C196" s="59" t="n"/>
      <c r="D196" s="59" t="n"/>
      <c r="E196" s="59" t="n"/>
      <c r="F196" s="385">
        <f>IRR(F195:K195)</f>
        <v/>
      </c>
      <c r="G196" s="386" t="n"/>
      <c r="H196" s="386" t="n"/>
      <c r="I196" s="386" t="n"/>
      <c r="J196" s="386" t="n"/>
      <c r="K196" s="386" t="n"/>
    </row>
    <row r="197" outlineLevel="1" ht="15" customHeight="1">
      <c r="B197" s="59" t="inlineStr">
        <is>
          <t>Equity Multiple</t>
        </is>
      </c>
      <c r="C197" s="59" t="n"/>
      <c r="D197" s="59" t="n"/>
      <c r="E197" s="59" t="n"/>
      <c r="F197" s="929">
        <f>SUMIF(F195:K195,"&gt;0")/-SUMIF(F195:K195,"&lt;0")</f>
        <v/>
      </c>
      <c r="G197" s="386" t="n"/>
      <c r="H197" s="386" t="n"/>
      <c r="I197" s="386" t="n"/>
      <c r="J197" s="386" t="n"/>
      <c r="K197" s="386" t="n"/>
    </row>
    <row r="198" outlineLevel="1" ht="15" customHeight="1">
      <c r="B198" s="59" t="n"/>
      <c r="C198" s="59" t="n"/>
      <c r="D198" s="59" t="n"/>
      <c r="E198" s="386" t="n"/>
      <c r="F198" s="414" t="n"/>
      <c r="G198" s="386" t="n"/>
      <c r="H198" s="386" t="n"/>
      <c r="I198" s="386" t="n"/>
      <c r="J198" s="386" t="n"/>
      <c r="K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row>
    <row r="200" outlineLevel="1" ht="15" customHeight="1">
      <c r="B200" s="437" t="inlineStr">
        <is>
          <t>Return Threshold - Up to:</t>
        </is>
      </c>
      <c r="C200" s="944">
        <f>E168</f>
        <v/>
      </c>
      <c r="D200" s="418" t="n"/>
      <c r="E200" s="418" t="n"/>
      <c r="F200" s="419" t="inlineStr">
        <is>
          <t>Year 0</t>
        </is>
      </c>
      <c r="G200" s="934">
        <f>G$21</f>
        <v/>
      </c>
      <c r="H200" s="934">
        <f>H$21</f>
        <v/>
      </c>
      <c r="I200" s="934">
        <f>I$21</f>
        <v/>
      </c>
      <c r="J200" s="934">
        <f>J$21</f>
        <v/>
      </c>
      <c r="K200" s="934">
        <f>K$21</f>
        <v/>
      </c>
    </row>
    <row r="201" outlineLevel="1" ht="15" customHeight="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C202" s="59" t="n"/>
      <c r="D202" s="59" t="n"/>
      <c r="E202" s="59" t="n"/>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C207" s="59" t="n"/>
      <c r="D207" s="59" t="n"/>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C209" s="59" t="n"/>
      <c r="D209" s="59" t="n"/>
      <c r="E209" s="59" t="n"/>
      <c r="F209" s="395" t="n"/>
      <c r="G209" s="395" t="n"/>
      <c r="H209" s="395" t="n"/>
      <c r="I209" s="395" t="n"/>
      <c r="J209" s="395" t="n"/>
      <c r="K209" s="395" t="n"/>
    </row>
    <row r="210" outlineLevel="1" ht="15" customHeight="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C215" s="59" t="n"/>
      <c r="D215" s="59" t="n"/>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C216" s="59" t="n"/>
      <c r="D216" s="59" t="n"/>
      <c r="E216" s="59" t="n"/>
      <c r="F216" s="395" t="n"/>
      <c r="G216" s="346" t="n"/>
      <c r="H216" s="346" t="n"/>
      <c r="I216" s="346" t="n"/>
      <c r="J216" s="346" t="n"/>
      <c r="K216" s="346" t="n"/>
    </row>
    <row r="217" outlineLevel="1" ht="15" customHeight="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C219" s="59" t="n"/>
      <c r="D219" s="59" t="n"/>
      <c r="E219" s="59" t="n"/>
      <c r="F219" s="386" t="n"/>
      <c r="G219" s="386" t="n"/>
      <c r="H219" s="386" t="n"/>
      <c r="I219" s="386" t="n"/>
      <c r="J219" s="386" t="n"/>
      <c r="K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D221" s="59" t="n"/>
      <c r="E221" s="59" t="n"/>
      <c r="F221" s="386" t="n"/>
      <c r="G221" s="940" t="n"/>
      <c r="H221" s="940" t="n"/>
      <c r="I221" s="940" t="n"/>
      <c r="J221" s="940" t="n"/>
      <c r="K221" s="940" t="n"/>
    </row>
    <row r="222" outlineLevel="1" ht="15" customHeight="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C225" s="59" t="n"/>
      <c r="D225" s="59" t="n"/>
      <c r="E225" s="59" t="n"/>
      <c r="F225" s="395">
        <f>F208</f>
        <v/>
      </c>
      <c r="G225" s="395">
        <f>G208</f>
        <v/>
      </c>
      <c r="H225" s="395">
        <f>H208</f>
        <v/>
      </c>
      <c r="I225" s="395">
        <f>I208</f>
        <v/>
      </c>
      <c r="J225" s="395">
        <f>J208</f>
        <v/>
      </c>
      <c r="K225" s="395">
        <f>K208</f>
        <v/>
      </c>
    </row>
    <row r="226" outlineLevel="1" ht="15" customHeight="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C228" s="59" t="n"/>
      <c r="D228" s="59" t="n"/>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74" t="n"/>
      <c r="D229" s="74" t="n"/>
      <c r="E229" s="74" t="n"/>
      <c r="F229" s="446" t="n"/>
      <c r="G229" s="446" t="n"/>
      <c r="H229" s="446" t="n"/>
      <c r="I229" s="446" t="n"/>
      <c r="J229" s="446" t="n"/>
      <c r="K229" s="446" t="n"/>
    </row>
    <row r="230" outlineLevel="1" ht="15" customHeight="1">
      <c r="B230" s="59" t="inlineStr">
        <is>
          <t>Distribution to LP</t>
        </is>
      </c>
      <c r="C230" s="59" t="n"/>
      <c r="D230" s="59" t="n"/>
      <c r="E230" s="59" t="n"/>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C234" s="59" t="n"/>
      <c r="D234" s="59" t="n"/>
      <c r="E234" s="59" t="n"/>
      <c r="F234" s="386" t="n"/>
      <c r="G234" s="386" t="n"/>
      <c r="H234" s="386" t="n"/>
      <c r="I234" s="386" t="n"/>
      <c r="J234" s="386" t="n"/>
      <c r="K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D236" s="59" t="n"/>
      <c r="E236" s="59" t="n"/>
      <c r="F236" s="386" t="n"/>
      <c r="G236" s="940" t="n"/>
      <c r="H236" s="940" t="n"/>
      <c r="I236" s="940" t="n"/>
      <c r="J236" s="940" t="n"/>
      <c r="K236" s="940" t="n"/>
    </row>
    <row r="237" outlineLevel="1" ht="15" customHeight="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C243" s="59" t="n"/>
      <c r="D243" s="59" t="n"/>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74" t="n"/>
      <c r="D244" s="74" t="n"/>
      <c r="E244" s="74" t="n"/>
      <c r="F244" s="446" t="n"/>
      <c r="G244" s="446" t="n"/>
      <c r="H244" s="446" t="n"/>
      <c r="I244" s="446" t="n"/>
      <c r="J244" s="446" t="n"/>
      <c r="K244" s="446" t="n"/>
    </row>
    <row r="245" outlineLevel="1" ht="15" customHeight="1">
      <c r="B245" s="59" t="inlineStr">
        <is>
          <t>Distribution to LP</t>
        </is>
      </c>
      <c r="C245" s="59" t="n"/>
      <c r="D245" s="59" t="n"/>
      <c r="E245" s="59" t="n"/>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C249" s="59" t="n"/>
      <c r="D249" s="59" t="n"/>
      <c r="E249" s="59" t="n"/>
      <c r="F249" s="386" t="n"/>
      <c r="G249" s="386" t="n"/>
      <c r="H249" s="386" t="n"/>
      <c r="I249" s="386" t="n"/>
      <c r="J249" s="386" t="n"/>
      <c r="K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D251" s="59" t="n"/>
      <c r="E251" s="59" t="n"/>
      <c r="F251" s="386" t="n"/>
      <c r="G251" s="940" t="n"/>
      <c r="H251" s="940" t="n"/>
      <c r="I251" s="940" t="n"/>
      <c r="J251" s="940" t="n"/>
      <c r="K251" s="940" t="n"/>
    </row>
    <row r="252" outlineLevel="1" ht="15" customHeight="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C258" s="59" t="n"/>
      <c r="D258" s="59" t="n"/>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74" t="n"/>
      <c r="D259" s="74" t="n"/>
      <c r="E259" s="74" t="n"/>
      <c r="F259" s="446" t="n"/>
      <c r="G259" s="446" t="n"/>
      <c r="H259" s="446" t="n"/>
      <c r="I259" s="446" t="n"/>
      <c r="J259" s="446" t="n"/>
      <c r="K259" s="446" t="n"/>
    </row>
    <row r="260" outlineLevel="1" ht="15" customHeight="1">
      <c r="B260" s="59" t="inlineStr">
        <is>
          <t>Distribution to LP</t>
        </is>
      </c>
      <c r="C260" s="59" t="n"/>
      <c r="D260" s="59" t="n"/>
      <c r="E260" s="59" t="n"/>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C264" s="59" t="n"/>
      <c r="D264" s="59" t="n"/>
      <c r="E264" s="59" t="n"/>
      <c r="F264" s="386" t="n"/>
      <c r="G264" s="386" t="n"/>
      <c r="H264" s="386" t="n"/>
      <c r="I264" s="386" t="n"/>
      <c r="J264" s="386" t="n"/>
      <c r="K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D266" s="59" t="n"/>
      <c r="E266" s="59" t="n"/>
      <c r="F266" s="386" t="n"/>
      <c r="G266" s="940" t="n"/>
      <c r="H266" s="940" t="n"/>
      <c r="I266" s="940" t="n"/>
      <c r="J266" s="940" t="n"/>
      <c r="K266" s="940" t="n"/>
    </row>
    <row r="267" outlineLevel="1" ht="15" customHeight="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23" t="n"/>
      <c r="F3" s="123" t="n"/>
      <c r="G3" s="123" t="n"/>
      <c r="H3" s="123" t="inlineStr">
        <is>
          <t>S2</t>
        </is>
      </c>
    </row>
    <row r="4" ht="28.5" customHeight="1">
      <c r="B4" s="799" t="inlineStr">
        <is>
          <t>Sources of Funds</t>
        </is>
      </c>
      <c r="D4" s="166" t="inlineStr">
        <is>
          <t>/ Unit</t>
        </is>
      </c>
      <c r="E4" s="217" t="n"/>
      <c r="F4" s="217" t="n"/>
      <c r="G4" s="217" t="n"/>
      <c r="H4" s="799" t="inlineStr">
        <is>
          <t>Sources of Funds</t>
        </is>
      </c>
      <c r="J4" s="166" t="inlineStr">
        <is>
          <t>/ Unit</t>
        </is>
      </c>
      <c r="K4" s="217" t="n"/>
    </row>
    <row r="5" ht="21" customHeight="1">
      <c r="B5" s="155" t="inlineStr">
        <is>
          <t>Senior Loan</t>
        </is>
      </c>
      <c r="C5" s="306">
        <f>'Loan Scenario (acquisition)'!C31</f>
        <v/>
      </c>
      <c r="D5" s="233">
        <f>C5/'GGC Underwriting'!$N$7</f>
        <v/>
      </c>
      <c r="E5" s="215" t="n"/>
      <c r="F5" s="167" t="n"/>
      <c r="G5" s="167" t="n"/>
      <c r="H5" s="155" t="inlineStr">
        <is>
          <t>Senior Loan</t>
        </is>
      </c>
      <c r="I5" s="306">
        <f>'Loan Scenario (acquisition)'!C31</f>
        <v/>
      </c>
      <c r="J5" s="233">
        <f>I5/'GGC Underwriting'!$N$7</f>
        <v/>
      </c>
      <c r="K5" s="215" t="n"/>
      <c r="L5" s="678" t="n"/>
      <c r="O5" s="311" t="n"/>
      <c r="P5" s="947" t="n"/>
      <c r="Q5" s="311" t="n"/>
    </row>
    <row r="6" ht="21" customHeight="1">
      <c r="B6" s="139" t="inlineStr">
        <is>
          <t>Mezz Debt</t>
        </is>
      </c>
      <c r="C6" s="226" t="n">
        <v>0</v>
      </c>
      <c r="D6" s="233">
        <f>C6/'GGC Underwriting'!$N$7</f>
        <v/>
      </c>
      <c r="E6" s="215" t="n"/>
      <c r="F6" s="167" t="n"/>
      <c r="G6" s="167" t="n"/>
      <c r="H6" s="139" t="inlineStr">
        <is>
          <t>Seller note</t>
        </is>
      </c>
      <c r="I6" s="761" t="n">
        <v>0</v>
      </c>
      <c r="J6" s="233">
        <f>I6/'GGC Underwriting'!$N$7</f>
        <v/>
      </c>
      <c r="K6" s="215" t="n"/>
      <c r="O6" s="311" t="n"/>
      <c r="P6" s="947" t="n"/>
      <c r="Q6" s="311" t="n"/>
    </row>
    <row r="7" ht="21" customHeight="1">
      <c r="B7" s="139" t="inlineStr">
        <is>
          <t>LP - Equity</t>
        </is>
      </c>
      <c r="C7" s="227">
        <f>C18-C5-C6-C8</f>
        <v/>
      </c>
      <c r="D7" s="233">
        <f>C7/'GGC Underwriting'!$N$7</f>
        <v/>
      </c>
      <c r="E7" s="215" t="n"/>
      <c r="F7" s="167" t="n"/>
      <c r="G7" s="167" t="n"/>
      <c r="H7" s="139" t="inlineStr">
        <is>
          <t>LP - Equity</t>
        </is>
      </c>
      <c r="I7" s="227">
        <f>I18-I5-I6-I8</f>
        <v/>
      </c>
      <c r="J7" s="233">
        <f>I7/'GGC Underwriting'!$N$7</f>
        <v/>
      </c>
      <c r="K7" s="215" t="n"/>
      <c r="O7" s="311" t="n"/>
      <c r="P7" s="947" t="n"/>
      <c r="Q7" s="311" t="n"/>
    </row>
    <row r="8" ht="21" customHeight="1">
      <c r="B8" s="235" t="inlineStr">
        <is>
          <t>GP</t>
        </is>
      </c>
      <c r="C8" s="697">
        <f>C15</f>
        <v/>
      </c>
      <c r="D8" s="233">
        <f>C8/'GGC Underwriting'!$N$7</f>
        <v/>
      </c>
      <c r="E8" s="461">
        <f>C8/(C7+C8)</f>
        <v/>
      </c>
      <c r="F8" s="167" t="n"/>
      <c r="G8" s="167" t="n"/>
      <c r="H8" s="235" t="inlineStr">
        <is>
          <t>GP</t>
        </is>
      </c>
      <c r="I8" s="697">
        <f>I15</f>
        <v/>
      </c>
      <c r="J8" s="233">
        <f>I8/'GGC Underwriting'!$N$7</f>
        <v/>
      </c>
      <c r="K8" s="461">
        <f>I8/(I7+I8)</f>
        <v/>
      </c>
      <c r="O8" s="311" t="n"/>
      <c r="P8" s="947" t="n"/>
      <c r="Q8" s="311" t="n"/>
    </row>
    <row r="9" ht="21" customHeight="1" thickBot="1">
      <c r="B9" s="142" t="inlineStr">
        <is>
          <t>Total</t>
        </is>
      </c>
      <c r="C9" s="228">
        <f>C5+C6+C7+C8</f>
        <v/>
      </c>
      <c r="D9" s="234">
        <f>C9/'GGC Underwriting'!$N$7</f>
        <v/>
      </c>
      <c r="E9" s="215" t="n"/>
      <c r="F9" s="167" t="n"/>
      <c r="G9" s="167" t="n"/>
      <c r="H9" s="142" t="inlineStr">
        <is>
          <t>Total</t>
        </is>
      </c>
      <c r="I9" s="228">
        <f>I5+I6+I7+I8</f>
        <v/>
      </c>
      <c r="J9" s="234">
        <f>I9/'GGC Underwriting'!$N$7</f>
        <v/>
      </c>
      <c r="K9" s="215" t="n"/>
      <c r="O9" s="311" t="n"/>
      <c r="P9" s="947" t="n"/>
      <c r="Q9" s="311" t="n"/>
    </row>
    <row r="10" ht="15.75" customHeight="1" thickTop="1">
      <c r="B10" s="140" t="n"/>
      <c r="C10" s="138" t="n"/>
      <c r="D10" s="138" t="n"/>
      <c r="E10" s="138" t="n"/>
      <c r="F10" s="216" t="n"/>
      <c r="G10" s="216" t="n"/>
      <c r="H10" s="140" t="n"/>
      <c r="I10" s="138" t="n"/>
      <c r="J10" s="138" t="n"/>
      <c r="K10" s="138" t="n"/>
    </row>
    <row r="11">
      <c r="B11" s="140" t="n"/>
      <c r="C11" s="138" t="n"/>
      <c r="D11" s="138" t="n"/>
      <c r="E11" s="138" t="n"/>
      <c r="F11" s="216" t="n"/>
      <c r="G11" s="216" t="n"/>
      <c r="H11" s="140" t="n"/>
      <c r="I11" s="138" t="n"/>
      <c r="J11" s="138" t="n"/>
      <c r="K11" s="138" t="n"/>
    </row>
    <row r="12" ht="18.75" customHeight="1">
      <c r="B12" s="799" t="inlineStr">
        <is>
          <t>Uses of Funds of Funds</t>
        </is>
      </c>
      <c r="D12" s="166" t="inlineStr">
        <is>
          <t>/ Unit</t>
        </is>
      </c>
      <c r="H12" s="799" t="inlineStr">
        <is>
          <t>Uses of Funds of Funds</t>
        </is>
      </c>
      <c r="J12" s="166" t="inlineStr">
        <is>
          <t>/ Unit</t>
        </is>
      </c>
    </row>
    <row r="13" ht="21" customHeight="1">
      <c r="B13" s="155" t="inlineStr">
        <is>
          <t>Purchase Price</t>
        </is>
      </c>
      <c r="C13" s="306">
        <f>'GGC Underwriting'!P4</f>
        <v/>
      </c>
      <c r="D13" s="232">
        <f>C13/'GGC Underwriting'!$N$7</f>
        <v/>
      </c>
      <c r="H13" s="155" t="inlineStr">
        <is>
          <t>Purchase Price</t>
        </is>
      </c>
      <c r="I13" s="306">
        <f>'GGC Underwriting'!P4</f>
        <v/>
      </c>
      <c r="J13" s="232">
        <f>I13/'GGC Underwriting'!$N$7</f>
        <v/>
      </c>
      <c r="L13" s="772" t="n"/>
    </row>
    <row r="14" ht="21" customHeight="1">
      <c r="B14" s="139" t="inlineStr">
        <is>
          <t>Closing Costs</t>
        </is>
      </c>
      <c r="C14" s="226">
        <f>C13*1.5%</f>
        <v/>
      </c>
      <c r="D14" s="233">
        <f>C14/'GGC Underwriting'!$N$7</f>
        <v/>
      </c>
      <c r="H14" s="139" t="inlineStr">
        <is>
          <t>Closing Costs</t>
        </is>
      </c>
      <c r="I14" s="226">
        <f>I13*1.5%</f>
        <v/>
      </c>
      <c r="J14" s="233">
        <f>I14/'GGC Underwriting'!$N$7</f>
        <v/>
      </c>
    </row>
    <row r="15" ht="21" customHeight="1">
      <c r="B15" s="139" t="inlineStr">
        <is>
          <t>Acquistion Fee (2%)</t>
        </is>
      </c>
      <c r="C15" s="226">
        <f>C13*2%</f>
        <v/>
      </c>
      <c r="D15" s="233">
        <f>C15/'GGC Underwriting'!$N$7</f>
        <v/>
      </c>
      <c r="H15" s="139" t="inlineStr">
        <is>
          <t>Acquistion Fee (2%)</t>
        </is>
      </c>
      <c r="I15" s="226">
        <f>I13*2%</f>
        <v/>
      </c>
      <c r="J15" s="233">
        <f>I15/'GGC Underwriting'!$N$7</f>
        <v/>
      </c>
    </row>
    <row r="16" ht="21" customHeight="1">
      <c r="B16" s="139" t="inlineStr">
        <is>
          <t>Equity Broker Fee (3%)</t>
        </is>
      </c>
      <c r="C16" s="226">
        <f>3%*C20</f>
        <v/>
      </c>
      <c r="D16" s="233">
        <f>C16/'GGC Underwriting'!$N$7</f>
        <v/>
      </c>
      <c r="H16" s="139" t="inlineStr">
        <is>
          <t>Equity Broker Fee (3%)</t>
        </is>
      </c>
      <c r="I16" s="226">
        <f>3%*I20</f>
        <v/>
      </c>
      <c r="J16" s="233">
        <f>I16/'GGC Underwriting'!$N$7</f>
        <v/>
      </c>
    </row>
    <row r="17" ht="21" customHeight="1">
      <c r="B17" s="139" t="inlineStr">
        <is>
          <t>Capex Budget</t>
        </is>
      </c>
      <c r="C17" s="688">
        <f>C24</f>
        <v/>
      </c>
      <c r="D17" s="233">
        <f>C17/'GGC Underwriting'!$N$7</f>
        <v/>
      </c>
      <c r="H17" s="139" t="inlineStr">
        <is>
          <t>Capex Budget</t>
        </is>
      </c>
      <c r="I17" s="688">
        <f>I24</f>
        <v/>
      </c>
      <c r="J17" s="233">
        <f>I17/'GGC Underwriting'!$N$7</f>
        <v/>
      </c>
      <c r="K17" s="125" t="inlineStr">
        <is>
          <t>Working Capital</t>
        </is>
      </c>
    </row>
    <row r="18" ht="21" customHeight="1" thickBot="1">
      <c r="B18" s="142" t="inlineStr">
        <is>
          <t>Total</t>
        </is>
      </c>
      <c r="C18" s="228">
        <f>SUM(C13:C17)</f>
        <v/>
      </c>
      <c r="D18" s="234">
        <f>C18/'GGC Underwriting'!$N$7</f>
        <v/>
      </c>
      <c r="H18" s="142" t="inlineStr">
        <is>
          <t>Total</t>
        </is>
      </c>
      <c r="I18" s="228">
        <f>SUM(I13:I17)</f>
        <v/>
      </c>
      <c r="J18" s="234">
        <f>I18/'GGC Underwriting'!$N$7</f>
        <v/>
      </c>
    </row>
    <row r="19" ht="15.75" customHeight="1" thickTop="1"/>
    <row r="20">
      <c r="A20" s="311" t="n"/>
      <c r="C20" s="311" t="n"/>
    </row>
    <row r="21">
      <c r="B21" t="inlineStr">
        <is>
          <t>Water / Septic / Utilities</t>
        </is>
      </c>
      <c r="C21" s="947" t="n">
        <v>0</v>
      </c>
      <c r="I21" t="n">
        <v>0</v>
      </c>
    </row>
    <row r="22">
      <c r="B22" t="inlineStr">
        <is>
          <t>Add Homes / In-fill</t>
        </is>
      </c>
      <c r="C22" s="947" t="n">
        <v>0</v>
      </c>
      <c r="I22" t="n">
        <v>0</v>
      </c>
    </row>
    <row r="23">
      <c r="B23" t="inlineStr">
        <is>
          <t>Working Capital</t>
        </is>
      </c>
      <c r="C23" s="947" t="n">
        <v>200000</v>
      </c>
      <c r="I23" t="n">
        <v>200000</v>
      </c>
    </row>
    <row r="24">
      <c r="B24" s="140" t="inlineStr">
        <is>
          <t>Capex Budget Total</t>
        </is>
      </c>
      <c r="C24" s="948">
        <f>SUM(C21:C23)</f>
        <v/>
      </c>
      <c r="I24">
        <f>SUM(I21:I23)</f>
        <v/>
      </c>
    </row>
    <row r="27">
      <c r="C27" s="457" t="n"/>
    </row>
    <row r="28">
      <c r="F28" s="218" t="n"/>
    </row>
    <row r="93">
      <c r="L93" s="125" t="inlineStr">
        <is>
          <t>=-'Loan Scenario (acquisition)'!J66-</t>
        </is>
      </c>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IG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81" t="n"/>
      <c r="Y2" s="181" t="n"/>
      <c r="Z2" s="181" t="n"/>
      <c r="AA2" s="181" t="n"/>
      <c r="AB2" s="18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81" t="n"/>
      <c r="Y3" s="181" t="n"/>
      <c r="Z3" s="181" t="n"/>
      <c r="AA3" s="181" t="n"/>
      <c r="AB3" s="18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81" t="n"/>
      <c r="Y4" s="181" t="n"/>
      <c r="Z4" s="181" t="n"/>
      <c r="AA4" s="181" t="n"/>
      <c r="AB4" s="18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81" t="n"/>
      <c r="Y5" s="181" t="n"/>
      <c r="Z5" s="181" t="n"/>
      <c r="AA5" s="181" t="n"/>
      <c r="AB5" s="18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81" t="n"/>
      <c r="Y6" s="181" t="n"/>
      <c r="Z6" s="181" t="n"/>
      <c r="AA6" s="181" t="n"/>
      <c r="AB6" s="181"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59" t="n"/>
      <c r="BZ6" s="59" t="n"/>
      <c r="CA6" s="59" t="n"/>
      <c r="CB6" s="59" t="n"/>
      <c r="CC6" s="59" t="n"/>
      <c r="CD6" s="59" t="n"/>
      <c r="CE6" s="59" t="n"/>
      <c r="CF6" s="59" t="n"/>
      <c r="CG6" s="59" t="n"/>
      <c r="CH6" s="59" t="n"/>
      <c r="CI6" s="59" t="n"/>
      <c r="CJ6" s="59" t="n"/>
      <c r="CK6" s="59" t="n"/>
      <c r="CL6" s="59" t="n"/>
      <c r="CM6" s="59" t="n"/>
      <c r="CN6" s="59" t="n"/>
      <c r="CO6" s="59" t="n"/>
      <c r="CP6" s="59" t="n"/>
      <c r="CQ6" s="59" t="n"/>
      <c r="CR6" s="59" t="n"/>
      <c r="CS6" s="59" t="n"/>
      <c r="CT6" s="59" t="n"/>
      <c r="CU6" s="59" t="n"/>
      <c r="CV6" s="59" t="n"/>
      <c r="CW6" s="59" t="n"/>
      <c r="CX6" s="59" t="n"/>
      <c r="CY6" s="59" t="n"/>
      <c r="CZ6" s="59" t="n"/>
      <c r="DA6" s="59" t="n"/>
      <c r="DB6" s="59" t="n"/>
      <c r="DC6" s="59" t="n"/>
      <c r="DD6" s="59" t="n"/>
      <c r="DE6" s="59" t="n"/>
      <c r="DF6" s="59" t="n"/>
      <c r="DG6" s="59" t="n"/>
      <c r="DH6" s="59" t="n"/>
      <c r="DI6" s="59" t="n"/>
      <c r="DJ6" s="59" t="n"/>
      <c r="DK6" s="59" t="n"/>
      <c r="DL6" s="59" t="n"/>
      <c r="DM6" s="59" t="n"/>
      <c r="DN6" s="59" t="n"/>
      <c r="DO6" s="59" t="n"/>
      <c r="DP6" s="59" t="n"/>
      <c r="DQ6" s="59" t="n"/>
      <c r="DR6" s="59" t="n"/>
      <c r="DS6" s="59" t="n"/>
      <c r="DT6" s="59" t="n"/>
      <c r="DU6" s="59" t="n"/>
      <c r="DV6" s="59" t="n"/>
      <c r="DW6" s="59" t="n"/>
      <c r="DX6" s="59" t="n"/>
      <c r="DY6" s="59" t="n"/>
      <c r="DZ6" s="59" t="n"/>
      <c r="EA6" s="59" t="n"/>
      <c r="EB6" s="59" t="n"/>
      <c r="EC6" s="59" t="n"/>
      <c r="ED6" s="59" t="n"/>
      <c r="EE6" s="59" t="n"/>
      <c r="EF6" s="59" t="n"/>
      <c r="EG6" s="59" t="n"/>
      <c r="EH6" s="59" t="n"/>
      <c r="EI6" s="59" t="n"/>
      <c r="EJ6" s="59" t="n"/>
      <c r="EK6" s="59" t="n"/>
      <c r="EL6" s="59" t="n"/>
      <c r="EM6" s="59" t="n"/>
      <c r="EN6" s="59" t="n"/>
      <c r="EO6" s="59" t="n"/>
      <c r="EP6" s="59" t="n"/>
      <c r="EQ6" s="59" t="n"/>
      <c r="ER6" s="59" t="n"/>
      <c r="ES6" s="59" t="n"/>
      <c r="ET6" s="59" t="n"/>
      <c r="EU6" s="59" t="n"/>
      <c r="EV6" s="59" t="n"/>
      <c r="EW6" s="59" t="n"/>
      <c r="EX6" s="59" t="n"/>
      <c r="EY6" s="59" t="n"/>
      <c r="EZ6" s="59" t="n"/>
      <c r="FA6" s="59" t="n"/>
      <c r="FB6" s="59" t="n"/>
      <c r="FC6" s="59" t="n"/>
      <c r="FD6" s="59" t="n"/>
      <c r="FE6" s="59" t="n"/>
      <c r="FF6" s="59" t="n"/>
      <c r="FG6" s="59" t="n"/>
      <c r="FH6" s="59" t="n"/>
      <c r="FI6" s="59" t="n"/>
      <c r="FJ6" s="59" t="n"/>
      <c r="FK6" s="59" t="n"/>
      <c r="FL6" s="59" t="n"/>
      <c r="FM6" s="59" t="n"/>
      <c r="FN6" s="59" t="n"/>
      <c r="FO6" s="59" t="n"/>
      <c r="FP6" s="59" t="n"/>
      <c r="FQ6" s="59" t="n"/>
      <c r="FR6" s="59" t="n"/>
      <c r="FS6" s="59" t="n"/>
      <c r="FT6" s="59" t="n"/>
      <c r="FU6" s="59" t="n"/>
      <c r="FV6" s="59" t="n"/>
      <c r="FW6" s="59" t="n"/>
      <c r="FX6" s="59" t="n"/>
      <c r="FY6" s="59" t="n"/>
      <c r="FZ6" s="59" t="n"/>
      <c r="GA6" s="59" t="n"/>
      <c r="GB6" s="59" t="n"/>
      <c r="GC6" s="59" t="n"/>
      <c r="GD6" s="59" t="n"/>
      <c r="GE6" s="59" t="n"/>
      <c r="GF6" s="59" t="n"/>
      <c r="GG6" s="59" t="n"/>
      <c r="GH6" s="59" t="n"/>
      <c r="GI6" s="59" t="n"/>
      <c r="GJ6" s="59" t="n"/>
      <c r="GK6" s="59" t="n"/>
      <c r="GL6" s="59" t="n"/>
      <c r="GM6" s="59" t="n"/>
      <c r="GN6" s="59" t="n"/>
      <c r="GO6" s="59" t="n"/>
      <c r="GP6" s="59" t="n"/>
      <c r="GQ6" s="59" t="n"/>
      <c r="GR6" s="59" t="n"/>
      <c r="GS6" s="59" t="n"/>
      <c r="GT6" s="59" t="n"/>
      <c r="GU6" s="59" t="n"/>
      <c r="GV6" s="59" t="n"/>
      <c r="GW6" s="59" t="n"/>
      <c r="GX6" s="59" t="n"/>
      <c r="GY6" s="59" t="n"/>
      <c r="GZ6" s="59" t="n"/>
      <c r="HA6" s="59" t="n"/>
      <c r="HB6" s="59" t="n"/>
      <c r="HC6" s="59" t="n"/>
      <c r="HD6" s="59" t="n"/>
      <c r="HE6" s="59" t="n"/>
      <c r="HF6" s="59" t="n"/>
      <c r="HG6" s="59" t="n"/>
      <c r="HH6" s="59" t="n"/>
      <c r="HI6" s="59" t="n"/>
      <c r="HJ6" s="59" t="n"/>
      <c r="HK6" s="59" t="n"/>
      <c r="HL6" s="59" t="n"/>
      <c r="HM6" s="59" t="n"/>
      <c r="HN6" s="59" t="n"/>
      <c r="HO6" s="59" t="n"/>
      <c r="HP6" s="59" t="n"/>
      <c r="HQ6" s="59" t="n"/>
      <c r="HR6" s="59" t="n"/>
      <c r="HS6" s="59" t="n"/>
      <c r="HT6" s="59" t="n"/>
      <c r="HU6" s="59" t="n"/>
      <c r="HV6" s="59" t="n"/>
      <c r="HW6" s="59" t="n"/>
      <c r="HX6" s="59" t="n"/>
      <c r="HY6" s="59" t="n"/>
      <c r="HZ6" s="59" t="n"/>
      <c r="IA6" s="59" t="n"/>
      <c r="IB6" s="59" t="n"/>
      <c r="IC6" s="59" t="n"/>
      <c r="ID6" s="59" t="n"/>
      <c r="IE6" s="59" t="n"/>
      <c r="IF6" s="59" t="n"/>
      <c r="IG6" s="59"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Principle</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81" t="n"/>
      <c r="Y7" s="181" t="n"/>
      <c r="Z7" s="181" t="n"/>
      <c r="AA7" s="181" t="n"/>
      <c r="AB7" s="181"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SUM(H42:H53)</f>
        <v/>
      </c>
      <c r="Q8" s="950">
        <f>SUM(H55:H66)</f>
        <v/>
      </c>
      <c r="R8" s="950">
        <f>SUM(H67:H78)</f>
        <v/>
      </c>
      <c r="S8" s="950">
        <f>SUM(H79:H90)</f>
        <v/>
      </c>
      <c r="T8" s="950">
        <f>SUM(H81:H92)</f>
        <v/>
      </c>
      <c r="U8" s="950">
        <f>SUM(H91:H102)</f>
        <v/>
      </c>
      <c r="V8" s="950">
        <f>SUM(H115:H126)</f>
        <v/>
      </c>
      <c r="W8" s="951">
        <f>SUM(M8:V8)</f>
        <v/>
      </c>
      <c r="X8" s="181" t="n"/>
      <c r="Y8" s="181" t="n"/>
      <c r="Z8" s="181" t="n"/>
      <c r="AA8" s="181" t="n"/>
      <c r="AB8" s="181"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59" t="n"/>
      <c r="BZ8" s="59" t="n"/>
      <c r="CA8" s="59" t="n"/>
      <c r="CB8" s="59" t="n"/>
      <c r="CC8" s="59" t="n"/>
      <c r="CD8" s="59" t="n"/>
      <c r="CE8" s="59" t="n"/>
      <c r="CF8" s="59" t="n"/>
      <c r="CG8" s="59" t="n"/>
      <c r="CH8" s="59"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c r="DE8" s="59" t="n"/>
      <c r="DF8" s="59" t="n"/>
      <c r="DG8" s="59" t="n"/>
      <c r="DH8" s="59" t="n"/>
      <c r="DI8" s="59" t="n"/>
      <c r="DJ8" s="59" t="n"/>
      <c r="DK8" s="59" t="n"/>
      <c r="DL8" s="59" t="n"/>
      <c r="DM8" s="59" t="n"/>
      <c r="DN8" s="59" t="n"/>
      <c r="DO8" s="59" t="n"/>
      <c r="DP8" s="59" t="n"/>
      <c r="DQ8" s="59" t="n"/>
      <c r="DR8" s="59" t="n"/>
      <c r="DS8" s="59" t="n"/>
      <c r="DT8" s="59" t="n"/>
      <c r="DU8" s="59" t="n"/>
      <c r="DV8" s="59" t="n"/>
      <c r="DW8" s="59" t="n"/>
      <c r="DX8" s="59" t="n"/>
      <c r="DY8" s="59" t="n"/>
      <c r="DZ8" s="59" t="n"/>
      <c r="EA8" s="59" t="n"/>
      <c r="EB8" s="59" t="n"/>
      <c r="EC8" s="59" t="n"/>
      <c r="ED8" s="59" t="n"/>
      <c r="EE8" s="59" t="n"/>
      <c r="EF8" s="59" t="n"/>
      <c r="EG8" s="59" t="n"/>
      <c r="EH8" s="59" t="n"/>
      <c r="EI8" s="59" t="n"/>
      <c r="EJ8" s="59" t="n"/>
      <c r="EK8" s="59" t="n"/>
      <c r="EL8" s="59" t="n"/>
      <c r="EM8" s="59" t="n"/>
      <c r="EN8" s="59" t="n"/>
      <c r="EO8" s="59" t="n"/>
      <c r="EP8" s="59" t="n"/>
      <c r="EQ8" s="59" t="n"/>
      <c r="ER8" s="59" t="n"/>
      <c r="ES8" s="59" t="n"/>
      <c r="ET8" s="59" t="n"/>
      <c r="EU8" s="59" t="n"/>
      <c r="EV8" s="59" t="n"/>
      <c r="EW8" s="59" t="n"/>
      <c r="EX8" s="59" t="n"/>
      <c r="EY8" s="59" t="n"/>
      <c r="EZ8" s="59" t="n"/>
      <c r="FA8" s="59" t="n"/>
      <c r="FB8" s="59" t="n"/>
      <c r="FC8" s="59" t="n"/>
      <c r="FD8" s="59" t="n"/>
      <c r="FE8" s="59" t="n"/>
      <c r="FF8" s="59" t="n"/>
      <c r="FG8" s="59" t="n"/>
      <c r="FH8" s="59" t="n"/>
      <c r="FI8" s="59" t="n"/>
      <c r="FJ8" s="59" t="n"/>
      <c r="FK8" s="59" t="n"/>
      <c r="FL8" s="59" t="n"/>
      <c r="FM8" s="59" t="n"/>
      <c r="FN8" s="59" t="n"/>
      <c r="FO8" s="59" t="n"/>
      <c r="FP8" s="59" t="n"/>
      <c r="FQ8" s="59" t="n"/>
      <c r="FR8" s="59" t="n"/>
      <c r="FS8" s="59" t="n"/>
      <c r="FT8" s="59" t="n"/>
      <c r="FU8" s="59" t="n"/>
      <c r="FV8" s="59" t="n"/>
      <c r="FW8" s="59" t="n"/>
      <c r="FX8" s="59" t="n"/>
      <c r="FY8" s="59" t="n"/>
      <c r="FZ8" s="59" t="n"/>
      <c r="GA8" s="59" t="n"/>
      <c r="GB8" s="59" t="n"/>
      <c r="GC8" s="59" t="n"/>
      <c r="GD8" s="59" t="n"/>
      <c r="GE8" s="59" t="n"/>
      <c r="GF8" s="59" t="n"/>
      <c r="GG8" s="59" t="n"/>
      <c r="GH8" s="59" t="n"/>
      <c r="GI8" s="59" t="n"/>
      <c r="GJ8" s="59" t="n"/>
      <c r="GK8" s="59" t="n"/>
      <c r="GL8" s="59" t="n"/>
      <c r="GM8" s="59" t="n"/>
      <c r="GN8" s="59" t="n"/>
      <c r="GO8" s="59" t="n"/>
      <c r="GP8" s="59" t="n"/>
      <c r="GQ8" s="59" t="n"/>
      <c r="GR8" s="59" t="n"/>
      <c r="GS8" s="59" t="n"/>
      <c r="GT8" s="59" t="n"/>
      <c r="GU8" s="59" t="n"/>
      <c r="GV8" s="59" t="n"/>
      <c r="GW8" s="59" t="n"/>
      <c r="GX8" s="59" t="n"/>
      <c r="GY8" s="59" t="n"/>
      <c r="GZ8" s="59" t="n"/>
      <c r="HA8" s="59" t="n"/>
      <c r="HB8" s="59" t="n"/>
      <c r="HC8" s="59" t="n"/>
      <c r="HD8" s="59" t="n"/>
      <c r="HE8" s="59" t="n"/>
      <c r="HF8" s="59" t="n"/>
      <c r="HG8" s="59" t="n"/>
      <c r="HH8" s="59" t="n"/>
      <c r="HI8" s="59" t="n"/>
      <c r="HJ8" s="59" t="n"/>
      <c r="HK8" s="59" t="n"/>
      <c r="HL8" s="59" t="n"/>
      <c r="HM8" s="59" t="n"/>
      <c r="HN8" s="59" t="n"/>
      <c r="HO8" s="59" t="n"/>
      <c r="HP8" s="59" t="n"/>
      <c r="HQ8" s="59" t="n"/>
      <c r="HR8" s="59" t="n"/>
      <c r="HS8" s="59" t="n"/>
      <c r="HT8" s="59" t="n"/>
      <c r="HU8" s="59" t="n"/>
      <c r="HV8" s="59" t="n"/>
      <c r="HW8" s="59" t="n"/>
      <c r="HX8" s="59" t="n"/>
      <c r="HY8" s="59" t="n"/>
      <c r="HZ8" s="59" t="n"/>
      <c r="IA8" s="59" t="n"/>
      <c r="IB8" s="59" t="n"/>
      <c r="IC8" s="59" t="n"/>
      <c r="ID8" s="59" t="n"/>
      <c r="IE8" s="59" t="n"/>
      <c r="IF8" s="59" t="n"/>
      <c r="IG8" s="59"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81" t="n"/>
      <c r="Y9" s="181" t="n"/>
      <c r="Z9" s="181" t="n"/>
      <c r="AA9" s="181" t="n"/>
      <c r="AB9" s="181"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59" t="n"/>
      <c r="BZ9" s="59" t="n"/>
      <c r="CA9" s="59" t="n"/>
      <c r="CB9" s="59" t="n"/>
      <c r="CC9" s="59" t="n"/>
      <c r="CD9" s="59" t="n"/>
      <c r="CE9" s="59" t="n"/>
      <c r="CF9" s="59" t="n"/>
      <c r="CG9" s="59" t="n"/>
      <c r="CH9" s="59" t="n"/>
      <c r="CI9" s="59" t="n"/>
      <c r="CJ9" s="59" t="n"/>
      <c r="CK9" s="59" t="n"/>
      <c r="CL9" s="59" t="n"/>
      <c r="CM9" s="59" t="n"/>
      <c r="CN9" s="59" t="n"/>
      <c r="CO9" s="59" t="n"/>
      <c r="CP9" s="59" t="n"/>
      <c r="CQ9" s="59" t="n"/>
      <c r="CR9" s="59" t="n"/>
      <c r="CS9" s="59" t="n"/>
      <c r="CT9" s="59" t="n"/>
      <c r="CU9" s="59" t="n"/>
      <c r="CV9" s="59" t="n"/>
      <c r="CW9" s="59" t="n"/>
      <c r="CX9" s="59" t="n"/>
      <c r="CY9" s="59" t="n"/>
      <c r="CZ9" s="59" t="n"/>
      <c r="DA9" s="59" t="n"/>
      <c r="DB9" s="59" t="n"/>
      <c r="DC9" s="59" t="n"/>
      <c r="DD9" s="59" t="n"/>
      <c r="DE9" s="59" t="n"/>
      <c r="DF9" s="59" t="n"/>
      <c r="DG9" s="59" t="n"/>
      <c r="DH9" s="59" t="n"/>
      <c r="DI9" s="59" t="n"/>
      <c r="DJ9" s="59" t="n"/>
      <c r="DK9" s="59" t="n"/>
      <c r="DL9" s="59" t="n"/>
      <c r="DM9" s="59" t="n"/>
      <c r="DN9" s="59" t="n"/>
      <c r="DO9" s="59" t="n"/>
      <c r="DP9" s="59" t="n"/>
      <c r="DQ9" s="59" t="n"/>
      <c r="DR9" s="59" t="n"/>
      <c r="DS9" s="59" t="n"/>
      <c r="DT9" s="59" t="n"/>
      <c r="DU9" s="59" t="n"/>
      <c r="DV9" s="59" t="n"/>
      <c r="DW9" s="59" t="n"/>
      <c r="DX9" s="59" t="n"/>
      <c r="DY9" s="59" t="n"/>
      <c r="DZ9" s="59" t="n"/>
      <c r="EA9" s="59" t="n"/>
      <c r="EB9" s="59" t="n"/>
      <c r="EC9" s="59" t="n"/>
      <c r="ED9" s="59" t="n"/>
      <c r="EE9" s="59" t="n"/>
      <c r="EF9" s="59" t="n"/>
      <c r="EG9" s="59" t="n"/>
      <c r="EH9" s="59" t="n"/>
      <c r="EI9" s="59" t="n"/>
      <c r="EJ9" s="59" t="n"/>
      <c r="EK9" s="59" t="n"/>
      <c r="EL9" s="59" t="n"/>
      <c r="EM9" s="59" t="n"/>
      <c r="EN9" s="59" t="n"/>
      <c r="EO9" s="59" t="n"/>
      <c r="EP9" s="59" t="n"/>
      <c r="EQ9" s="59" t="n"/>
      <c r="ER9" s="59" t="n"/>
      <c r="ES9" s="59" t="n"/>
      <c r="ET9" s="59" t="n"/>
      <c r="EU9" s="59" t="n"/>
      <c r="EV9" s="59" t="n"/>
      <c r="EW9" s="59" t="n"/>
      <c r="EX9" s="59" t="n"/>
      <c r="EY9" s="59" t="n"/>
      <c r="EZ9" s="59" t="n"/>
      <c r="FA9" s="59" t="n"/>
      <c r="FB9" s="59" t="n"/>
      <c r="FC9" s="59" t="n"/>
      <c r="FD9" s="59" t="n"/>
      <c r="FE9" s="59" t="n"/>
      <c r="FF9" s="59" t="n"/>
      <c r="FG9" s="59" t="n"/>
      <c r="FH9" s="59" t="n"/>
      <c r="FI9" s="59" t="n"/>
      <c r="FJ9" s="59" t="n"/>
      <c r="FK9" s="59" t="n"/>
      <c r="FL9" s="59" t="n"/>
      <c r="FM9" s="59" t="n"/>
      <c r="FN9" s="59" t="n"/>
      <c r="FO9" s="59" t="n"/>
      <c r="FP9" s="59" t="n"/>
      <c r="FQ9" s="59" t="n"/>
      <c r="FR9" s="59" t="n"/>
      <c r="FS9" s="59" t="n"/>
      <c r="FT9" s="59" t="n"/>
      <c r="FU9" s="59" t="n"/>
      <c r="FV9" s="59" t="n"/>
      <c r="FW9" s="59" t="n"/>
      <c r="FX9" s="59" t="n"/>
      <c r="FY9" s="59" t="n"/>
      <c r="FZ9" s="59" t="n"/>
      <c r="GA9" s="59" t="n"/>
      <c r="GB9" s="59" t="n"/>
      <c r="GC9" s="59" t="n"/>
      <c r="GD9" s="59" t="n"/>
      <c r="GE9" s="59" t="n"/>
      <c r="GF9" s="59" t="n"/>
      <c r="GG9" s="59" t="n"/>
      <c r="GH9" s="59" t="n"/>
      <c r="GI9" s="59" t="n"/>
      <c r="GJ9" s="59" t="n"/>
      <c r="GK9" s="59" t="n"/>
      <c r="GL9" s="59" t="n"/>
      <c r="GM9" s="59" t="n"/>
      <c r="GN9" s="59" t="n"/>
      <c r="GO9" s="59" t="n"/>
      <c r="GP9" s="59" t="n"/>
      <c r="GQ9" s="59" t="n"/>
      <c r="GR9" s="59" t="n"/>
      <c r="GS9" s="59" t="n"/>
      <c r="GT9" s="59" t="n"/>
      <c r="GU9" s="59" t="n"/>
      <c r="GV9" s="59" t="n"/>
      <c r="GW9" s="59" t="n"/>
      <c r="GX9" s="59" t="n"/>
      <c r="GY9" s="59" t="n"/>
      <c r="GZ9" s="59" t="n"/>
      <c r="HA9" s="59" t="n"/>
      <c r="HB9" s="59" t="n"/>
      <c r="HC9" s="59" t="n"/>
      <c r="HD9" s="59" t="n"/>
      <c r="HE9" s="59" t="n"/>
      <c r="HF9" s="59" t="n"/>
      <c r="HG9" s="59" t="n"/>
      <c r="HH9" s="59" t="n"/>
      <c r="HI9" s="59" t="n"/>
      <c r="HJ9" s="59" t="n"/>
      <c r="HK9" s="59" t="n"/>
      <c r="HL9" s="59" t="n"/>
      <c r="HM9" s="59" t="n"/>
      <c r="HN9" s="59" t="n"/>
      <c r="HO9" s="59" t="n"/>
      <c r="HP9" s="59" t="n"/>
      <c r="HQ9" s="59" t="n"/>
      <c r="HR9" s="59" t="n"/>
      <c r="HS9" s="59" t="n"/>
      <c r="HT9" s="59" t="n"/>
      <c r="HU9" s="59" t="n"/>
      <c r="HV9" s="59" t="n"/>
      <c r="HW9" s="59" t="n"/>
      <c r="HX9" s="59" t="n"/>
      <c r="HY9" s="59" t="n"/>
      <c r="HZ9" s="59" t="n"/>
      <c r="IA9" s="59" t="n"/>
      <c r="IB9" s="59" t="n"/>
      <c r="IC9" s="59" t="n"/>
      <c r="ID9" s="59" t="n"/>
      <c r="IE9" s="59" t="n"/>
      <c r="IF9" s="59" t="n"/>
      <c r="IG9" s="59"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81" t="n"/>
      <c r="Y10" s="181" t="n"/>
      <c r="Z10" s="181" t="n"/>
      <c r="AA10" s="181" t="n"/>
      <c r="AB10" s="181"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59" t="n"/>
      <c r="BZ10" s="59" t="n"/>
      <c r="CA10" s="59" t="n"/>
      <c r="CB10" s="59" t="n"/>
      <c r="CC10" s="59" t="n"/>
      <c r="CD10" s="59" t="n"/>
      <c r="CE10" s="59" t="n"/>
      <c r="CF10" s="59" t="n"/>
      <c r="CG10" s="59" t="n"/>
      <c r="CH10" s="59" t="n"/>
      <c r="CI10" s="59" t="n"/>
      <c r="CJ10" s="59" t="n"/>
      <c r="CK10" s="59" t="n"/>
      <c r="CL10" s="59" t="n"/>
      <c r="CM10" s="59" t="n"/>
      <c r="CN10" s="59" t="n"/>
      <c r="CO10" s="59" t="n"/>
      <c r="CP10" s="59" t="n"/>
      <c r="CQ10" s="59" t="n"/>
      <c r="CR10" s="59" t="n"/>
      <c r="CS10" s="59" t="n"/>
      <c r="CT10" s="59" t="n"/>
      <c r="CU10" s="59" t="n"/>
      <c r="CV10" s="59" t="n"/>
      <c r="CW10" s="59" t="n"/>
      <c r="CX10" s="59" t="n"/>
      <c r="CY10" s="59" t="n"/>
      <c r="CZ10" s="59" t="n"/>
      <c r="DA10" s="59" t="n"/>
      <c r="DB10" s="59" t="n"/>
      <c r="DC10" s="59" t="n"/>
      <c r="DD10" s="59" t="n"/>
      <c r="DE10" s="59" t="n"/>
      <c r="DF10" s="59" t="n"/>
      <c r="DG10" s="59" t="n"/>
      <c r="DH10" s="59" t="n"/>
      <c r="DI10" s="59" t="n"/>
      <c r="DJ10" s="59" t="n"/>
      <c r="DK10" s="59" t="n"/>
      <c r="DL10" s="59" t="n"/>
      <c r="DM10" s="59" t="n"/>
      <c r="DN10" s="59" t="n"/>
      <c r="DO10" s="59" t="n"/>
      <c r="DP10" s="59" t="n"/>
      <c r="DQ10" s="59" t="n"/>
      <c r="DR10" s="59" t="n"/>
      <c r="DS10" s="59" t="n"/>
      <c r="DT10" s="59" t="n"/>
      <c r="DU10" s="59" t="n"/>
      <c r="DV10" s="59" t="n"/>
      <c r="DW10" s="59" t="n"/>
      <c r="DX10" s="59" t="n"/>
      <c r="DY10" s="59" t="n"/>
      <c r="DZ10" s="59" t="n"/>
      <c r="EA10" s="59" t="n"/>
      <c r="EB10" s="59" t="n"/>
      <c r="EC10" s="59" t="n"/>
      <c r="ED10" s="59" t="n"/>
      <c r="EE10" s="59" t="n"/>
      <c r="EF10" s="59" t="n"/>
      <c r="EG10" s="59" t="n"/>
      <c r="EH10" s="59" t="n"/>
      <c r="EI10" s="59" t="n"/>
      <c r="EJ10" s="59" t="n"/>
      <c r="EK10" s="59" t="n"/>
      <c r="EL10" s="59" t="n"/>
      <c r="EM10" s="59" t="n"/>
      <c r="EN10" s="59" t="n"/>
      <c r="EO10" s="59" t="n"/>
      <c r="EP10" s="59" t="n"/>
      <c r="EQ10" s="59" t="n"/>
      <c r="ER10" s="59" t="n"/>
      <c r="ES10" s="59" t="n"/>
      <c r="ET10" s="59" t="n"/>
      <c r="EU10" s="59" t="n"/>
      <c r="EV10" s="59" t="n"/>
      <c r="EW10" s="59" t="n"/>
      <c r="EX10" s="59" t="n"/>
      <c r="EY10" s="59" t="n"/>
      <c r="EZ10" s="59" t="n"/>
      <c r="FA10" s="59" t="n"/>
      <c r="FB10" s="59" t="n"/>
      <c r="FC10" s="59" t="n"/>
      <c r="FD10" s="59" t="n"/>
      <c r="FE10" s="59" t="n"/>
      <c r="FF10" s="59" t="n"/>
      <c r="FG10" s="59" t="n"/>
      <c r="FH10" s="59" t="n"/>
      <c r="FI10" s="59" t="n"/>
      <c r="FJ10" s="59" t="n"/>
      <c r="FK10" s="59" t="n"/>
      <c r="FL10" s="59" t="n"/>
      <c r="FM10" s="59" t="n"/>
      <c r="FN10" s="59" t="n"/>
      <c r="FO10" s="59" t="n"/>
      <c r="FP10" s="59" t="n"/>
      <c r="FQ10" s="59" t="n"/>
      <c r="FR10" s="59" t="n"/>
      <c r="FS10" s="59" t="n"/>
      <c r="FT10" s="59" t="n"/>
      <c r="FU10" s="59" t="n"/>
      <c r="FV10" s="59" t="n"/>
      <c r="FW10" s="59" t="n"/>
      <c r="FX10" s="59" t="n"/>
      <c r="FY10" s="59" t="n"/>
      <c r="FZ10" s="59" t="n"/>
      <c r="GA10" s="59" t="n"/>
      <c r="GB10" s="59" t="n"/>
      <c r="GC10" s="59" t="n"/>
      <c r="GD10" s="59" t="n"/>
      <c r="GE10" s="59" t="n"/>
      <c r="GF10" s="59" t="n"/>
      <c r="GG10" s="59" t="n"/>
      <c r="GH10" s="59" t="n"/>
      <c r="GI10" s="59" t="n"/>
      <c r="GJ10" s="59" t="n"/>
      <c r="GK10" s="59" t="n"/>
      <c r="GL10" s="59" t="n"/>
      <c r="GM10" s="59" t="n"/>
      <c r="GN10" s="59" t="n"/>
      <c r="GO10" s="59" t="n"/>
      <c r="GP10" s="59" t="n"/>
      <c r="GQ10" s="59" t="n"/>
      <c r="GR10" s="59" t="n"/>
      <c r="GS10" s="59" t="n"/>
      <c r="GT10" s="59" t="n"/>
      <c r="GU10" s="59" t="n"/>
      <c r="GV10" s="59" t="n"/>
      <c r="GW10" s="59" t="n"/>
      <c r="GX10" s="59" t="n"/>
      <c r="GY10" s="59" t="n"/>
      <c r="GZ10" s="59" t="n"/>
      <c r="HA10" s="59" t="n"/>
      <c r="HB10" s="59" t="n"/>
      <c r="HC10" s="59" t="n"/>
      <c r="HD10" s="59" t="n"/>
      <c r="HE10" s="59" t="n"/>
      <c r="HF10" s="59" t="n"/>
      <c r="HG10" s="59" t="n"/>
      <c r="HH10" s="59" t="n"/>
      <c r="HI10" s="59" t="n"/>
      <c r="HJ10" s="59" t="n"/>
      <c r="HK10" s="59" t="n"/>
      <c r="HL10" s="59" t="n"/>
      <c r="HM10" s="59" t="n"/>
      <c r="HN10" s="59" t="n"/>
      <c r="HO10" s="59" t="n"/>
      <c r="HP10" s="59" t="n"/>
      <c r="HQ10" s="59" t="n"/>
      <c r="HR10" s="59" t="n"/>
      <c r="HS10" s="59" t="n"/>
      <c r="HT10" s="59" t="n"/>
      <c r="HU10" s="59" t="n"/>
      <c r="HV10" s="59" t="n"/>
      <c r="HW10" s="59" t="n"/>
      <c r="HX10" s="59" t="n"/>
      <c r="HY10" s="59" t="n"/>
      <c r="HZ10" s="59" t="n"/>
      <c r="IA10" s="59" t="n"/>
      <c r="IB10" s="59" t="n"/>
      <c r="IC10" s="59" t="n"/>
      <c r="ID10" s="59" t="n"/>
      <c r="IE10" s="59" t="n"/>
      <c r="IF10" s="59" t="n"/>
      <c r="IG10" s="59"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954" t="n"/>
      <c r="L11" s="59" t="n"/>
      <c r="M11" s="59" t="n"/>
      <c r="N11" s="59" t="n"/>
      <c r="O11" s="59" t="n"/>
      <c r="P11" s="59" t="n"/>
      <c r="Q11" s="59" t="n"/>
      <c r="R11" s="59" t="n"/>
      <c r="S11" s="59" t="n"/>
      <c r="T11" s="59" t="n"/>
      <c r="U11" s="59" t="n"/>
      <c r="V11" s="59" t="n"/>
      <c r="W11" s="59" t="n"/>
      <c r="X11" s="181" t="n"/>
      <c r="Y11" s="181" t="n"/>
      <c r="Z11" s="181" t="n"/>
      <c r="AA11" s="181" t="n"/>
      <c r="AB11" s="181"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59" t="n"/>
      <c r="BZ11" s="59" t="n"/>
      <c r="CA11" s="59" t="n"/>
      <c r="CB11" s="59" t="n"/>
      <c r="CC11" s="59" t="n"/>
      <c r="CD11" s="59" t="n"/>
      <c r="CE11" s="59" t="n"/>
      <c r="CF11" s="59" t="n"/>
      <c r="CG11" s="59" t="n"/>
      <c r="CH11" s="59" t="n"/>
      <c r="CI11" s="59" t="n"/>
      <c r="CJ11" s="59" t="n"/>
      <c r="CK11" s="59" t="n"/>
      <c r="CL11" s="59" t="n"/>
      <c r="CM11" s="59" t="n"/>
      <c r="CN11" s="59" t="n"/>
      <c r="CO11" s="59" t="n"/>
      <c r="CP11" s="59" t="n"/>
      <c r="CQ11" s="59" t="n"/>
      <c r="CR11" s="59" t="n"/>
      <c r="CS11" s="59" t="n"/>
      <c r="CT11" s="59" t="n"/>
      <c r="CU11" s="59" t="n"/>
      <c r="CV11" s="59" t="n"/>
      <c r="CW11" s="59" t="n"/>
      <c r="CX11" s="59" t="n"/>
      <c r="CY11" s="59" t="n"/>
      <c r="CZ11" s="59" t="n"/>
      <c r="DA11" s="59" t="n"/>
      <c r="DB11" s="59" t="n"/>
      <c r="DC11" s="59" t="n"/>
      <c r="DD11" s="59" t="n"/>
      <c r="DE11" s="59" t="n"/>
      <c r="DF11" s="59" t="n"/>
      <c r="DG11" s="59" t="n"/>
      <c r="DH11" s="59" t="n"/>
      <c r="DI11" s="59" t="n"/>
      <c r="DJ11" s="59" t="n"/>
      <c r="DK11" s="59" t="n"/>
      <c r="DL11" s="59" t="n"/>
      <c r="DM11" s="59" t="n"/>
      <c r="DN11" s="59" t="n"/>
      <c r="DO11" s="59" t="n"/>
      <c r="DP11" s="59" t="n"/>
      <c r="DQ11" s="59" t="n"/>
      <c r="DR11" s="59" t="n"/>
      <c r="DS11" s="59" t="n"/>
      <c r="DT11" s="59" t="n"/>
      <c r="DU11" s="59" t="n"/>
      <c r="DV11" s="59" t="n"/>
      <c r="DW11" s="59" t="n"/>
      <c r="DX11" s="59" t="n"/>
      <c r="DY11" s="59" t="n"/>
      <c r="DZ11" s="59" t="n"/>
      <c r="EA11" s="59" t="n"/>
      <c r="EB11" s="59" t="n"/>
      <c r="EC11" s="59" t="n"/>
      <c r="ED11" s="59" t="n"/>
      <c r="EE11" s="59" t="n"/>
      <c r="EF11" s="59" t="n"/>
      <c r="EG11" s="59" t="n"/>
      <c r="EH11" s="59" t="n"/>
      <c r="EI11" s="59" t="n"/>
      <c r="EJ11" s="59" t="n"/>
      <c r="EK11" s="59" t="n"/>
      <c r="EL11" s="59" t="n"/>
      <c r="EM11" s="59" t="n"/>
      <c r="EN11" s="59" t="n"/>
      <c r="EO11" s="59" t="n"/>
      <c r="EP11" s="59" t="n"/>
      <c r="EQ11" s="59" t="n"/>
      <c r="ER11" s="59" t="n"/>
      <c r="ES11" s="59" t="n"/>
      <c r="ET11" s="59" t="n"/>
      <c r="EU11" s="59" t="n"/>
      <c r="EV11" s="59" t="n"/>
      <c r="EW11" s="59" t="n"/>
      <c r="EX11" s="59" t="n"/>
      <c r="EY11" s="59" t="n"/>
      <c r="EZ11" s="59" t="n"/>
      <c r="FA11" s="59" t="n"/>
      <c r="FB11" s="59" t="n"/>
      <c r="FC11" s="59" t="n"/>
      <c r="FD11" s="59" t="n"/>
      <c r="FE11" s="59" t="n"/>
      <c r="FF11" s="59" t="n"/>
      <c r="FG11" s="59" t="n"/>
      <c r="FH11" s="59" t="n"/>
      <c r="FI11" s="59" t="n"/>
      <c r="FJ11" s="59" t="n"/>
      <c r="FK11" s="59" t="n"/>
      <c r="FL11" s="59" t="n"/>
      <c r="FM11" s="59" t="n"/>
      <c r="FN11" s="59" t="n"/>
      <c r="FO11" s="59" t="n"/>
      <c r="FP11" s="59" t="n"/>
      <c r="FQ11" s="59" t="n"/>
      <c r="FR11" s="59" t="n"/>
      <c r="FS11" s="59" t="n"/>
      <c r="FT11" s="59" t="n"/>
      <c r="FU11" s="59" t="n"/>
      <c r="FV11" s="59" t="n"/>
      <c r="FW11" s="59" t="n"/>
      <c r="FX11" s="59" t="n"/>
      <c r="FY11" s="59" t="n"/>
      <c r="FZ11" s="59" t="n"/>
      <c r="GA11" s="59" t="n"/>
      <c r="GB11" s="59" t="n"/>
      <c r="GC11" s="59" t="n"/>
      <c r="GD11" s="59" t="n"/>
      <c r="GE11" s="59" t="n"/>
      <c r="GF11" s="59" t="n"/>
      <c r="GG11" s="59" t="n"/>
      <c r="GH11" s="59" t="n"/>
      <c r="GI11" s="59" t="n"/>
      <c r="GJ11" s="59" t="n"/>
      <c r="GK11" s="59" t="n"/>
      <c r="GL11" s="59" t="n"/>
      <c r="GM11" s="59" t="n"/>
      <c r="GN11" s="59" t="n"/>
      <c r="GO11" s="59" t="n"/>
      <c r="GP11" s="59" t="n"/>
      <c r="GQ11" s="59" t="n"/>
      <c r="GR11" s="59" t="n"/>
      <c r="GS11" s="59" t="n"/>
      <c r="GT11" s="59" t="n"/>
      <c r="GU11" s="59" t="n"/>
      <c r="GV11" s="59" t="n"/>
      <c r="GW11" s="59" t="n"/>
      <c r="GX11" s="59" t="n"/>
      <c r="GY11" s="59" t="n"/>
      <c r="GZ11" s="59" t="n"/>
      <c r="HA11" s="59" t="n"/>
      <c r="HB11" s="59" t="n"/>
      <c r="HC11" s="59" t="n"/>
      <c r="HD11" s="59" t="n"/>
      <c r="HE11" s="59" t="n"/>
      <c r="HF11" s="59" t="n"/>
      <c r="HG11" s="59" t="n"/>
      <c r="HH11" s="59" t="n"/>
      <c r="HI11" s="59" t="n"/>
      <c r="HJ11" s="59" t="n"/>
      <c r="HK11" s="59" t="n"/>
      <c r="HL11" s="59" t="n"/>
      <c r="HM11" s="59" t="n"/>
      <c r="HN11" s="59" t="n"/>
      <c r="HO11" s="59" t="n"/>
      <c r="HP11" s="59" t="n"/>
      <c r="HQ11" s="59" t="n"/>
      <c r="HR11" s="59" t="n"/>
      <c r="HS11" s="59" t="n"/>
      <c r="HT11" s="59" t="n"/>
      <c r="HU11" s="59" t="n"/>
      <c r="HV11" s="59" t="n"/>
      <c r="HW11" s="59" t="n"/>
      <c r="HX11" s="59" t="n"/>
      <c r="HY11" s="59" t="n"/>
      <c r="HZ11" s="59" t="n"/>
      <c r="IA11" s="59" t="n"/>
      <c r="IB11" s="59" t="n"/>
      <c r="IC11" s="59" t="n"/>
      <c r="ID11" s="59" t="n"/>
      <c r="IE11" s="59" t="n"/>
      <c r="IF11" s="59" t="n"/>
      <c r="IG11" s="59" t="n"/>
    </row>
    <row r="12" ht="16.5" customHeight="1">
      <c r="A12" s="181" t="n"/>
      <c r="B12" s="59" t="n"/>
      <c r="C12" s="59" t="n"/>
      <c r="D12" s="181" t="n"/>
      <c r="E12" s="181" t="n"/>
      <c r="F12" s="208" t="n">
        <v>6</v>
      </c>
      <c r="G12" s="209">
        <f>$C$39</f>
        <v/>
      </c>
      <c r="H12" s="209">
        <f>(J11*$C$16)/12</f>
        <v/>
      </c>
      <c r="I12" s="209" t="n">
        <v>0</v>
      </c>
      <c r="J12" s="209">
        <f>J11-I12</f>
        <v/>
      </c>
      <c r="K12" s="954" t="n"/>
      <c r="L12" s="59" t="n"/>
      <c r="M12" s="59" t="n"/>
      <c r="N12" s="59" t="n"/>
      <c r="O12" s="59" t="n"/>
      <c r="P12" s="59" t="n"/>
      <c r="Q12" s="59" t="n"/>
      <c r="R12" s="59" t="n"/>
      <c r="S12" s="59" t="n"/>
      <c r="T12" s="59" t="n"/>
      <c r="U12" s="59" t="n"/>
      <c r="V12" s="59" t="n"/>
      <c r="W12" s="59" t="n"/>
      <c r="X12" s="181" t="n"/>
      <c r="Y12" s="181" t="n"/>
      <c r="Z12" s="181" t="n"/>
      <c r="AA12" s="181" t="n"/>
      <c r="AB12" s="181"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59" t="n"/>
      <c r="BZ12" s="59" t="n"/>
      <c r="CA12" s="59" t="n"/>
      <c r="CB12" s="59" t="n"/>
      <c r="CC12" s="59" t="n"/>
      <c r="CD12" s="59" t="n"/>
      <c r="CE12" s="59" t="n"/>
      <c r="CF12" s="59" t="n"/>
      <c r="CG12" s="59" t="n"/>
      <c r="CH12" s="59" t="n"/>
      <c r="CI12" s="59" t="n"/>
      <c r="CJ12" s="59" t="n"/>
      <c r="CK12" s="59" t="n"/>
      <c r="CL12" s="59" t="n"/>
      <c r="CM12" s="59" t="n"/>
      <c r="CN12" s="59" t="n"/>
      <c r="CO12" s="59" t="n"/>
      <c r="CP12" s="59" t="n"/>
      <c r="CQ12" s="59" t="n"/>
      <c r="CR12" s="59" t="n"/>
      <c r="CS12" s="59" t="n"/>
      <c r="CT12" s="59" t="n"/>
      <c r="CU12" s="59" t="n"/>
      <c r="CV12" s="59" t="n"/>
      <c r="CW12" s="59" t="n"/>
      <c r="CX12" s="59" t="n"/>
      <c r="CY12" s="59" t="n"/>
      <c r="CZ12" s="59" t="n"/>
      <c r="DA12" s="59" t="n"/>
      <c r="DB12" s="59" t="n"/>
      <c r="DC12" s="59" t="n"/>
      <c r="DD12" s="59" t="n"/>
      <c r="DE12" s="59" t="n"/>
      <c r="DF12" s="59" t="n"/>
      <c r="DG12" s="59" t="n"/>
      <c r="DH12" s="59" t="n"/>
      <c r="DI12" s="59" t="n"/>
      <c r="DJ12" s="59" t="n"/>
      <c r="DK12" s="59" t="n"/>
      <c r="DL12" s="59" t="n"/>
      <c r="DM12" s="59" t="n"/>
      <c r="DN12" s="59" t="n"/>
      <c r="DO12" s="59" t="n"/>
      <c r="DP12" s="59" t="n"/>
      <c r="DQ12" s="59" t="n"/>
      <c r="DR12" s="59" t="n"/>
      <c r="DS12" s="59" t="n"/>
      <c r="DT12" s="59" t="n"/>
      <c r="DU12" s="59" t="n"/>
      <c r="DV12" s="59" t="n"/>
      <c r="DW12" s="59" t="n"/>
      <c r="DX12" s="59" t="n"/>
      <c r="DY12" s="59" t="n"/>
      <c r="DZ12" s="59" t="n"/>
      <c r="EA12" s="59" t="n"/>
      <c r="EB12" s="59" t="n"/>
      <c r="EC12" s="59" t="n"/>
      <c r="ED12" s="59" t="n"/>
      <c r="EE12" s="59" t="n"/>
      <c r="EF12" s="59" t="n"/>
      <c r="EG12" s="59" t="n"/>
      <c r="EH12" s="59" t="n"/>
      <c r="EI12" s="59" t="n"/>
      <c r="EJ12" s="59" t="n"/>
      <c r="EK12" s="59" t="n"/>
      <c r="EL12" s="59" t="n"/>
      <c r="EM12" s="59" t="n"/>
      <c r="EN12" s="59" t="n"/>
      <c r="EO12" s="59" t="n"/>
      <c r="EP12" s="59" t="n"/>
      <c r="EQ12" s="59" t="n"/>
      <c r="ER12" s="59" t="n"/>
      <c r="ES12" s="59" t="n"/>
      <c r="ET12" s="59" t="n"/>
      <c r="EU12" s="59" t="n"/>
      <c r="EV12" s="59" t="n"/>
      <c r="EW12" s="59" t="n"/>
      <c r="EX12" s="59" t="n"/>
      <c r="EY12" s="59" t="n"/>
      <c r="EZ12" s="59" t="n"/>
      <c r="FA12" s="59" t="n"/>
      <c r="FB12" s="59" t="n"/>
      <c r="FC12" s="59" t="n"/>
      <c r="FD12" s="59" t="n"/>
      <c r="FE12" s="59" t="n"/>
      <c r="FF12" s="59" t="n"/>
      <c r="FG12" s="59" t="n"/>
      <c r="FH12" s="59" t="n"/>
      <c r="FI12" s="59" t="n"/>
      <c r="FJ12" s="59" t="n"/>
      <c r="FK12" s="59" t="n"/>
      <c r="FL12" s="59" t="n"/>
      <c r="FM12" s="59" t="n"/>
      <c r="FN12" s="59" t="n"/>
      <c r="FO12" s="59" t="n"/>
      <c r="FP12" s="59" t="n"/>
      <c r="FQ12" s="59" t="n"/>
      <c r="FR12" s="59" t="n"/>
      <c r="FS12" s="59" t="n"/>
      <c r="FT12" s="59" t="n"/>
      <c r="FU12" s="59" t="n"/>
      <c r="FV12" s="59" t="n"/>
      <c r="FW12" s="59" t="n"/>
      <c r="FX12" s="59" t="n"/>
      <c r="FY12" s="59" t="n"/>
      <c r="FZ12" s="59" t="n"/>
      <c r="GA12" s="59" t="n"/>
      <c r="GB12" s="59" t="n"/>
      <c r="GC12" s="59" t="n"/>
      <c r="GD12" s="59" t="n"/>
      <c r="GE12" s="59" t="n"/>
      <c r="GF12" s="59" t="n"/>
      <c r="GG12" s="59" t="n"/>
      <c r="GH12" s="59" t="n"/>
      <c r="GI12" s="59" t="n"/>
      <c r="GJ12" s="59" t="n"/>
      <c r="GK12" s="59" t="n"/>
      <c r="GL12" s="59" t="n"/>
      <c r="GM12" s="59" t="n"/>
      <c r="GN12" s="59" t="n"/>
      <c r="GO12" s="59" t="n"/>
      <c r="GP12" s="59" t="n"/>
      <c r="GQ12" s="59" t="n"/>
      <c r="GR12" s="59" t="n"/>
      <c r="GS12" s="59" t="n"/>
      <c r="GT12" s="59" t="n"/>
      <c r="GU12" s="59" t="n"/>
      <c r="GV12" s="59" t="n"/>
      <c r="GW12" s="59" t="n"/>
      <c r="GX12" s="59" t="n"/>
      <c r="GY12" s="59" t="n"/>
      <c r="GZ12" s="59" t="n"/>
      <c r="HA12" s="59" t="n"/>
      <c r="HB12" s="59" t="n"/>
      <c r="HC12" s="59" t="n"/>
      <c r="HD12" s="59" t="n"/>
      <c r="HE12" s="59" t="n"/>
      <c r="HF12" s="59" t="n"/>
      <c r="HG12" s="59" t="n"/>
      <c r="HH12" s="59" t="n"/>
      <c r="HI12" s="59" t="n"/>
      <c r="HJ12" s="59" t="n"/>
      <c r="HK12" s="59" t="n"/>
      <c r="HL12" s="59" t="n"/>
      <c r="HM12" s="59" t="n"/>
      <c r="HN12" s="59" t="n"/>
      <c r="HO12" s="59" t="n"/>
      <c r="HP12" s="59" t="n"/>
      <c r="HQ12" s="59" t="n"/>
      <c r="HR12" s="59" t="n"/>
      <c r="HS12" s="59" t="n"/>
      <c r="HT12" s="59" t="n"/>
      <c r="HU12" s="59" t="n"/>
      <c r="HV12" s="59" t="n"/>
      <c r="HW12" s="59" t="n"/>
      <c r="HX12" s="59" t="n"/>
      <c r="HY12" s="59" t="n"/>
      <c r="HZ12" s="59" t="n"/>
      <c r="IA12" s="59" t="n"/>
      <c r="IB12" s="59" t="n"/>
      <c r="IC12" s="59" t="n"/>
      <c r="ID12" s="59" t="n"/>
      <c r="IE12" s="59" t="n"/>
      <c r="IF12" s="59" t="n"/>
      <c r="IG12" s="59" t="n"/>
    </row>
    <row r="13" ht="16.5" customHeight="1">
      <c r="A13" s="181" t="n"/>
      <c r="B13" s="195" t="inlineStr">
        <is>
          <t>Interest Rate Stack</t>
        </is>
      </c>
      <c r="C13" s="181" t="n"/>
      <c r="D13" s="181" t="n"/>
      <c r="E13" s="181" t="n"/>
      <c r="F13" s="208" t="n">
        <v>7</v>
      </c>
      <c r="G13" s="209">
        <f>$C$39</f>
        <v/>
      </c>
      <c r="H13" s="209">
        <f>(J12*$C$16)/12</f>
        <v/>
      </c>
      <c r="I13" s="209" t="n">
        <v>0</v>
      </c>
      <c r="J13" s="209">
        <f>J12-I13</f>
        <v/>
      </c>
      <c r="K13" s="954" t="n"/>
      <c r="L13" s="181" t="n"/>
      <c r="M13" s="183" t="n"/>
      <c r="N13" s="181" t="n"/>
      <c r="O13" s="181" t="n"/>
      <c r="P13" s="181" t="n"/>
      <c r="Q13" s="181" t="n"/>
      <c r="R13" s="181" t="n"/>
      <c r="S13" s="181" t="n"/>
      <c r="T13" s="181" t="n"/>
      <c r="U13" s="181" t="n"/>
      <c r="V13" s="181" t="n"/>
      <c r="W13" s="181" t="n"/>
      <c r="X13" s="181" t="n"/>
      <c r="Y13" s="181" t="n"/>
      <c r="Z13" s="181" t="n"/>
      <c r="AA13" s="181" t="n"/>
      <c r="AB13" s="181"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59" t="n"/>
      <c r="BZ13" s="59" t="n"/>
      <c r="CA13" s="59" t="n"/>
      <c r="CB13" s="59" t="n"/>
      <c r="CC13" s="59" t="n"/>
      <c r="CD13" s="59" t="n"/>
      <c r="CE13" s="59" t="n"/>
      <c r="CF13" s="59" t="n"/>
      <c r="CG13" s="59" t="n"/>
      <c r="CH13" s="59" t="n"/>
      <c r="CI13" s="59" t="n"/>
      <c r="CJ13" s="59" t="n"/>
      <c r="CK13" s="59" t="n"/>
      <c r="CL13" s="59" t="n"/>
      <c r="CM13" s="59" t="n"/>
      <c r="CN13" s="59" t="n"/>
      <c r="CO13" s="59" t="n"/>
      <c r="CP13" s="59" t="n"/>
      <c r="CQ13" s="59" t="n"/>
      <c r="CR13" s="59" t="n"/>
      <c r="CS13" s="59" t="n"/>
      <c r="CT13" s="59" t="n"/>
      <c r="CU13" s="59" t="n"/>
      <c r="CV13" s="59" t="n"/>
      <c r="CW13" s="59" t="n"/>
      <c r="CX13" s="59" t="n"/>
      <c r="CY13" s="59" t="n"/>
      <c r="CZ13" s="59" t="n"/>
      <c r="DA13" s="59" t="n"/>
      <c r="DB13" s="59" t="n"/>
      <c r="DC13" s="59" t="n"/>
      <c r="DD13" s="59" t="n"/>
      <c r="DE13" s="59" t="n"/>
      <c r="DF13" s="59" t="n"/>
      <c r="DG13" s="59" t="n"/>
      <c r="DH13" s="59" t="n"/>
      <c r="DI13" s="59" t="n"/>
      <c r="DJ13" s="59" t="n"/>
      <c r="DK13" s="59" t="n"/>
      <c r="DL13" s="59" t="n"/>
      <c r="DM13" s="59" t="n"/>
      <c r="DN13" s="59" t="n"/>
      <c r="DO13" s="59" t="n"/>
      <c r="DP13" s="59" t="n"/>
      <c r="DQ13" s="59" t="n"/>
      <c r="DR13" s="59" t="n"/>
      <c r="DS13" s="59" t="n"/>
      <c r="DT13" s="59" t="n"/>
      <c r="DU13" s="59" t="n"/>
      <c r="DV13" s="59" t="n"/>
      <c r="DW13" s="59" t="n"/>
      <c r="DX13" s="59" t="n"/>
      <c r="DY13" s="59" t="n"/>
      <c r="DZ13" s="59" t="n"/>
      <c r="EA13" s="59" t="n"/>
      <c r="EB13" s="59" t="n"/>
      <c r="EC13" s="59" t="n"/>
      <c r="ED13" s="59" t="n"/>
      <c r="EE13" s="59" t="n"/>
      <c r="EF13" s="59" t="n"/>
      <c r="EG13" s="59" t="n"/>
      <c r="EH13" s="59" t="n"/>
      <c r="EI13" s="59" t="n"/>
      <c r="EJ13" s="59" t="n"/>
      <c r="EK13" s="59" t="n"/>
      <c r="EL13" s="59" t="n"/>
      <c r="EM13" s="59" t="n"/>
      <c r="EN13" s="59" t="n"/>
      <c r="EO13" s="59" t="n"/>
      <c r="EP13" s="59" t="n"/>
      <c r="EQ13" s="59" t="n"/>
      <c r="ER13" s="59" t="n"/>
      <c r="ES13" s="59" t="n"/>
      <c r="ET13" s="59" t="n"/>
      <c r="EU13" s="59" t="n"/>
      <c r="EV13" s="59" t="n"/>
      <c r="EW13" s="59" t="n"/>
      <c r="EX13" s="59" t="n"/>
      <c r="EY13" s="59" t="n"/>
      <c r="EZ13" s="59" t="n"/>
      <c r="FA13" s="59" t="n"/>
      <c r="FB13" s="59" t="n"/>
      <c r="FC13" s="59" t="n"/>
      <c r="FD13" s="59" t="n"/>
      <c r="FE13" s="59" t="n"/>
      <c r="FF13" s="59" t="n"/>
      <c r="FG13" s="59" t="n"/>
      <c r="FH13" s="59" t="n"/>
      <c r="FI13" s="59" t="n"/>
      <c r="FJ13" s="59" t="n"/>
      <c r="FK13" s="59" t="n"/>
      <c r="FL13" s="59" t="n"/>
      <c r="FM13" s="59" t="n"/>
      <c r="FN13" s="59" t="n"/>
      <c r="FO13" s="59" t="n"/>
      <c r="FP13" s="59" t="n"/>
      <c r="FQ13" s="59" t="n"/>
      <c r="FR13" s="59" t="n"/>
      <c r="FS13" s="59" t="n"/>
      <c r="FT13" s="59" t="n"/>
      <c r="FU13" s="59" t="n"/>
      <c r="FV13" s="59" t="n"/>
      <c r="FW13" s="59" t="n"/>
      <c r="FX13" s="59" t="n"/>
      <c r="FY13" s="59" t="n"/>
      <c r="FZ13" s="59" t="n"/>
      <c r="GA13" s="59" t="n"/>
      <c r="GB13" s="59" t="n"/>
      <c r="GC13" s="59" t="n"/>
      <c r="GD13" s="59" t="n"/>
      <c r="GE13" s="59" t="n"/>
      <c r="GF13" s="59" t="n"/>
      <c r="GG13" s="59" t="n"/>
      <c r="GH13" s="59" t="n"/>
      <c r="GI13" s="59" t="n"/>
      <c r="GJ13" s="59" t="n"/>
      <c r="GK13" s="59" t="n"/>
      <c r="GL13" s="59" t="n"/>
      <c r="GM13" s="59" t="n"/>
      <c r="GN13" s="59" t="n"/>
      <c r="GO13" s="59" t="n"/>
      <c r="GP13" s="59" t="n"/>
      <c r="GQ13" s="59" t="n"/>
      <c r="GR13" s="59" t="n"/>
      <c r="GS13" s="59" t="n"/>
      <c r="GT13" s="59" t="n"/>
      <c r="GU13" s="59" t="n"/>
      <c r="GV13" s="59" t="n"/>
      <c r="GW13" s="59" t="n"/>
      <c r="GX13" s="59" t="n"/>
      <c r="GY13" s="59" t="n"/>
      <c r="GZ13" s="59" t="n"/>
      <c r="HA13" s="59" t="n"/>
      <c r="HB13" s="59" t="n"/>
      <c r="HC13" s="59" t="n"/>
      <c r="HD13" s="59" t="n"/>
      <c r="HE13" s="59" t="n"/>
      <c r="HF13" s="59" t="n"/>
      <c r="HG13" s="59" t="n"/>
      <c r="HH13" s="59" t="n"/>
      <c r="HI13" s="59" t="n"/>
      <c r="HJ13" s="59" t="n"/>
      <c r="HK13" s="59" t="n"/>
      <c r="HL13" s="59" t="n"/>
      <c r="HM13" s="59" t="n"/>
      <c r="HN13" s="59" t="n"/>
      <c r="HO13" s="59" t="n"/>
      <c r="HP13" s="59" t="n"/>
      <c r="HQ13" s="59" t="n"/>
      <c r="HR13" s="59" t="n"/>
      <c r="HS13" s="59" t="n"/>
      <c r="HT13" s="59" t="n"/>
      <c r="HU13" s="59" t="n"/>
      <c r="HV13" s="59" t="n"/>
      <c r="HW13" s="59" t="n"/>
      <c r="HX13" s="59" t="n"/>
      <c r="HY13" s="59" t="n"/>
      <c r="HZ13" s="59" t="n"/>
      <c r="IA13" s="59" t="n"/>
      <c r="IB13" s="59" t="n"/>
      <c r="IC13" s="59" t="n"/>
      <c r="ID13" s="59" t="n"/>
      <c r="IE13" s="59" t="n"/>
      <c r="IF13" s="59" t="n"/>
      <c r="IG13" s="59" t="n"/>
    </row>
    <row r="14" ht="16.5" customHeight="1">
      <c r="A14" s="181" t="n"/>
      <c r="B14" s="181" t="inlineStr">
        <is>
          <t>US Treasury or SOFR</t>
        </is>
      </c>
      <c r="C14" s="190" t="n">
        <v>0.0405</v>
      </c>
      <c r="D14" s="181" t="n"/>
      <c r="E14" s="181" t="n"/>
      <c r="F14" s="208" t="n">
        <v>8</v>
      </c>
      <c r="G14" s="209">
        <f>$C$39</f>
        <v/>
      </c>
      <c r="H14" s="209">
        <f>(J13*$C$16)/12</f>
        <v/>
      </c>
      <c r="I14" s="209" t="n">
        <v>0</v>
      </c>
      <c r="J14" s="209">
        <f>J13-I14</f>
        <v/>
      </c>
      <c r="K14" s="181" t="n"/>
      <c r="L14" s="181" t="n"/>
      <c r="M14" s="183" t="n"/>
      <c r="N14" s="181" t="n"/>
      <c r="O14" s="181" t="n"/>
      <c r="P14" s="181" t="n"/>
      <c r="Q14" s="181" t="n"/>
      <c r="R14" s="181" t="n"/>
      <c r="S14" s="181" t="n"/>
      <c r="T14" s="181" t="n"/>
      <c r="U14" s="181" t="n"/>
      <c r="V14" s="181" t="n"/>
      <c r="W14" s="181" t="n"/>
      <c r="X14" s="181" t="n"/>
      <c r="Y14" s="181" t="n"/>
      <c r="Z14" s="181" t="n"/>
      <c r="AA14" s="181" t="n"/>
      <c r="AB14" s="181"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59" t="n"/>
      <c r="BZ14" s="59" t="n"/>
      <c r="CA14" s="59" t="n"/>
      <c r="CB14" s="59" t="n"/>
      <c r="CC14" s="59" t="n"/>
      <c r="CD14" s="59" t="n"/>
      <c r="CE14" s="59" t="n"/>
      <c r="CF14" s="59" t="n"/>
      <c r="CG14" s="59" t="n"/>
      <c r="CH14" s="59" t="n"/>
      <c r="CI14" s="59" t="n"/>
      <c r="CJ14" s="59" t="n"/>
      <c r="CK14" s="59" t="n"/>
      <c r="CL14" s="59" t="n"/>
      <c r="CM14" s="59" t="n"/>
      <c r="CN14" s="59" t="n"/>
      <c r="CO14" s="59" t="n"/>
      <c r="CP14" s="59" t="n"/>
      <c r="CQ14" s="59" t="n"/>
      <c r="CR14" s="59" t="n"/>
      <c r="CS14" s="59" t="n"/>
      <c r="CT14" s="59" t="n"/>
      <c r="CU14" s="59" t="n"/>
      <c r="CV14" s="59" t="n"/>
      <c r="CW14" s="59" t="n"/>
      <c r="CX14" s="59" t="n"/>
      <c r="CY14" s="59" t="n"/>
      <c r="CZ14" s="59" t="n"/>
      <c r="DA14" s="59" t="n"/>
      <c r="DB14" s="59" t="n"/>
      <c r="DC14" s="59" t="n"/>
      <c r="DD14" s="59" t="n"/>
      <c r="DE14" s="59" t="n"/>
      <c r="DF14" s="59" t="n"/>
      <c r="DG14" s="59" t="n"/>
      <c r="DH14" s="59" t="n"/>
      <c r="DI14" s="59" t="n"/>
      <c r="DJ14" s="59" t="n"/>
      <c r="DK14" s="59" t="n"/>
      <c r="DL14" s="59" t="n"/>
      <c r="DM14" s="59" t="n"/>
      <c r="DN14" s="59" t="n"/>
      <c r="DO14" s="59" t="n"/>
      <c r="DP14" s="59" t="n"/>
      <c r="DQ14" s="59" t="n"/>
      <c r="DR14" s="59" t="n"/>
      <c r="DS14" s="59" t="n"/>
      <c r="DT14" s="59" t="n"/>
      <c r="DU14" s="59" t="n"/>
      <c r="DV14" s="59" t="n"/>
      <c r="DW14" s="59" t="n"/>
      <c r="DX14" s="59" t="n"/>
      <c r="DY14" s="59" t="n"/>
      <c r="DZ14" s="59" t="n"/>
      <c r="EA14" s="59" t="n"/>
      <c r="EB14" s="59" t="n"/>
      <c r="EC14" s="59" t="n"/>
      <c r="ED14" s="59" t="n"/>
      <c r="EE14" s="59" t="n"/>
      <c r="EF14" s="59" t="n"/>
      <c r="EG14" s="59" t="n"/>
      <c r="EH14" s="59" t="n"/>
      <c r="EI14" s="59" t="n"/>
      <c r="EJ14" s="59" t="n"/>
      <c r="EK14" s="59" t="n"/>
      <c r="EL14" s="59" t="n"/>
      <c r="EM14" s="59" t="n"/>
      <c r="EN14" s="59" t="n"/>
      <c r="EO14" s="59" t="n"/>
      <c r="EP14" s="59" t="n"/>
      <c r="EQ14" s="59" t="n"/>
      <c r="ER14" s="59" t="n"/>
      <c r="ES14" s="59" t="n"/>
      <c r="ET14" s="59" t="n"/>
      <c r="EU14" s="59" t="n"/>
      <c r="EV14" s="59" t="n"/>
      <c r="EW14" s="59" t="n"/>
      <c r="EX14" s="59" t="n"/>
      <c r="EY14" s="59" t="n"/>
      <c r="EZ14" s="59" t="n"/>
      <c r="FA14" s="59" t="n"/>
      <c r="FB14" s="59" t="n"/>
      <c r="FC14" s="59" t="n"/>
      <c r="FD14" s="59" t="n"/>
      <c r="FE14" s="59" t="n"/>
      <c r="FF14" s="59" t="n"/>
      <c r="FG14" s="59" t="n"/>
      <c r="FH14" s="59" t="n"/>
      <c r="FI14" s="59" t="n"/>
      <c r="FJ14" s="59" t="n"/>
      <c r="FK14" s="59" t="n"/>
      <c r="FL14" s="59" t="n"/>
      <c r="FM14" s="59" t="n"/>
      <c r="FN14" s="59" t="n"/>
      <c r="FO14" s="59" t="n"/>
      <c r="FP14" s="59" t="n"/>
      <c r="FQ14" s="59" t="n"/>
      <c r="FR14" s="59" t="n"/>
      <c r="FS14" s="59" t="n"/>
      <c r="FT14" s="59" t="n"/>
      <c r="FU14" s="59" t="n"/>
      <c r="FV14" s="59" t="n"/>
      <c r="FW14" s="59" t="n"/>
      <c r="FX14" s="59" t="n"/>
      <c r="FY14" s="59" t="n"/>
      <c r="FZ14" s="59" t="n"/>
      <c r="GA14" s="59" t="n"/>
      <c r="GB14" s="59" t="n"/>
      <c r="GC14" s="59" t="n"/>
      <c r="GD14" s="59" t="n"/>
      <c r="GE14" s="59" t="n"/>
      <c r="GF14" s="59" t="n"/>
      <c r="GG14" s="59" t="n"/>
      <c r="GH14" s="59" t="n"/>
      <c r="GI14" s="59" t="n"/>
      <c r="GJ14" s="59" t="n"/>
      <c r="GK14" s="59" t="n"/>
      <c r="GL14" s="59" t="n"/>
      <c r="GM14" s="59" t="n"/>
      <c r="GN14" s="59" t="n"/>
      <c r="GO14" s="59" t="n"/>
      <c r="GP14" s="59" t="n"/>
      <c r="GQ14" s="59" t="n"/>
      <c r="GR14" s="59" t="n"/>
      <c r="GS14" s="59" t="n"/>
      <c r="GT14" s="59" t="n"/>
      <c r="GU14" s="59" t="n"/>
      <c r="GV14" s="59" t="n"/>
      <c r="GW14" s="59" t="n"/>
      <c r="GX14" s="59" t="n"/>
      <c r="GY14" s="59" t="n"/>
      <c r="GZ14" s="59" t="n"/>
      <c r="HA14" s="59" t="n"/>
      <c r="HB14" s="59" t="n"/>
      <c r="HC14" s="59" t="n"/>
      <c r="HD14" s="59" t="n"/>
      <c r="HE14" s="59" t="n"/>
      <c r="HF14" s="59" t="n"/>
      <c r="HG14" s="59" t="n"/>
      <c r="HH14" s="59" t="n"/>
      <c r="HI14" s="59" t="n"/>
      <c r="HJ14" s="59" t="n"/>
      <c r="HK14" s="59" t="n"/>
      <c r="HL14" s="59" t="n"/>
      <c r="HM14" s="59" t="n"/>
      <c r="HN14" s="59" t="n"/>
      <c r="HO14" s="59" t="n"/>
      <c r="HP14" s="59" t="n"/>
      <c r="HQ14" s="59" t="n"/>
      <c r="HR14" s="59" t="n"/>
      <c r="HS14" s="59" t="n"/>
      <c r="HT14" s="59" t="n"/>
      <c r="HU14" s="59" t="n"/>
      <c r="HV14" s="59" t="n"/>
      <c r="HW14" s="59" t="n"/>
      <c r="HX14" s="59" t="n"/>
      <c r="HY14" s="59" t="n"/>
      <c r="HZ14" s="59" t="n"/>
      <c r="IA14" s="59" t="n"/>
      <c r="IB14" s="59" t="n"/>
      <c r="IC14" s="59" t="n"/>
      <c r="ID14" s="59" t="n"/>
      <c r="IE14" s="59" t="n"/>
      <c r="IF14" s="59" t="n"/>
      <c r="IG14" s="59" t="n"/>
    </row>
    <row r="15" ht="16.5" customHeight="1">
      <c r="A15" s="181" t="n"/>
      <c r="B15" s="181" t="inlineStr">
        <is>
          <t>Spread</t>
        </is>
      </c>
      <c r="C15" s="190" t="n">
        <v>0.0185</v>
      </c>
      <c r="D15" s="181" t="n"/>
      <c r="E15" s="181" t="n"/>
      <c r="F15" s="208" t="n">
        <v>9</v>
      </c>
      <c r="G15" s="209">
        <f>$C$39</f>
        <v/>
      </c>
      <c r="H15" s="209">
        <f>(J14*$C$16)/12</f>
        <v/>
      </c>
      <c r="I15" s="209" t="n">
        <v>0</v>
      </c>
      <c r="J15" s="209">
        <f>J14-I15</f>
        <v/>
      </c>
      <c r="K15" s="181" t="n"/>
      <c r="L15" s="181" t="n"/>
      <c r="M15" s="181" t="n"/>
      <c r="N15" s="181" t="n"/>
      <c r="O15" s="186" t="n"/>
      <c r="P15" s="181" t="n"/>
      <c r="Q15" s="181" t="n"/>
      <c r="R15" s="181" t="n"/>
      <c r="S15" s="181" t="n"/>
      <c r="T15" s="181" t="n"/>
      <c r="U15" s="181" t="n"/>
      <c r="V15" s="181" t="n"/>
      <c r="W15" s="181" t="n"/>
      <c r="X15" s="181" t="n"/>
      <c r="Y15" s="181" t="n"/>
      <c r="Z15" s="181" t="n"/>
      <c r="AA15" s="181" t="n"/>
      <c r="AB15" s="181"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59" t="n"/>
      <c r="BZ15" s="59" t="n"/>
      <c r="CA15" s="59" t="n"/>
      <c r="CB15" s="59" t="n"/>
      <c r="CC15" s="59" t="n"/>
      <c r="CD15" s="59" t="n"/>
      <c r="CE15" s="59" t="n"/>
      <c r="CF15" s="59" t="n"/>
      <c r="CG15" s="59" t="n"/>
      <c r="CH15" s="59" t="n"/>
      <c r="CI15" s="59" t="n"/>
      <c r="CJ15" s="59" t="n"/>
      <c r="CK15" s="59" t="n"/>
      <c r="CL15" s="59" t="n"/>
      <c r="CM15" s="59" t="n"/>
      <c r="CN15" s="59" t="n"/>
      <c r="CO15" s="59" t="n"/>
      <c r="CP15" s="59" t="n"/>
      <c r="CQ15" s="59" t="n"/>
      <c r="CR15" s="59" t="n"/>
      <c r="CS15" s="59" t="n"/>
      <c r="CT15" s="59" t="n"/>
      <c r="CU15" s="59" t="n"/>
      <c r="CV15" s="59" t="n"/>
      <c r="CW15" s="59" t="n"/>
      <c r="CX15" s="59" t="n"/>
      <c r="CY15" s="59" t="n"/>
      <c r="CZ15" s="59" t="n"/>
      <c r="DA15" s="59" t="n"/>
      <c r="DB15" s="59" t="n"/>
      <c r="DC15" s="59" t="n"/>
      <c r="DD15" s="59" t="n"/>
      <c r="DE15" s="59" t="n"/>
      <c r="DF15" s="59" t="n"/>
      <c r="DG15" s="59" t="n"/>
      <c r="DH15" s="59" t="n"/>
      <c r="DI15" s="59" t="n"/>
      <c r="DJ15" s="59" t="n"/>
      <c r="DK15" s="59" t="n"/>
      <c r="DL15" s="59" t="n"/>
      <c r="DM15" s="59" t="n"/>
      <c r="DN15" s="59" t="n"/>
      <c r="DO15" s="59" t="n"/>
      <c r="DP15" s="59" t="n"/>
      <c r="DQ15" s="59" t="n"/>
      <c r="DR15" s="59" t="n"/>
      <c r="DS15" s="59" t="n"/>
      <c r="DT15" s="59" t="n"/>
      <c r="DU15" s="59" t="n"/>
      <c r="DV15" s="59" t="n"/>
      <c r="DW15" s="59" t="n"/>
      <c r="DX15" s="59" t="n"/>
      <c r="DY15" s="59" t="n"/>
      <c r="DZ15" s="59" t="n"/>
      <c r="EA15" s="59" t="n"/>
      <c r="EB15" s="59" t="n"/>
      <c r="EC15" s="59" t="n"/>
      <c r="ED15" s="59" t="n"/>
      <c r="EE15" s="59" t="n"/>
      <c r="EF15" s="59" t="n"/>
      <c r="EG15" s="59" t="n"/>
      <c r="EH15" s="59" t="n"/>
      <c r="EI15" s="59" t="n"/>
      <c r="EJ15" s="59" t="n"/>
      <c r="EK15" s="59" t="n"/>
      <c r="EL15" s="59" t="n"/>
      <c r="EM15" s="59" t="n"/>
      <c r="EN15" s="59" t="n"/>
      <c r="EO15" s="59" t="n"/>
      <c r="EP15" s="59" t="n"/>
      <c r="EQ15" s="59" t="n"/>
      <c r="ER15" s="59" t="n"/>
      <c r="ES15" s="59" t="n"/>
      <c r="ET15" s="59" t="n"/>
      <c r="EU15" s="59" t="n"/>
      <c r="EV15" s="59" t="n"/>
      <c r="EW15" s="59" t="n"/>
      <c r="EX15" s="59" t="n"/>
      <c r="EY15" s="59" t="n"/>
      <c r="EZ15" s="59" t="n"/>
      <c r="FA15" s="59" t="n"/>
      <c r="FB15" s="59" t="n"/>
      <c r="FC15" s="59" t="n"/>
      <c r="FD15" s="59" t="n"/>
      <c r="FE15" s="59" t="n"/>
      <c r="FF15" s="59" t="n"/>
      <c r="FG15" s="59" t="n"/>
      <c r="FH15" s="59" t="n"/>
      <c r="FI15" s="59" t="n"/>
      <c r="FJ15" s="59" t="n"/>
      <c r="FK15" s="59" t="n"/>
      <c r="FL15" s="59" t="n"/>
      <c r="FM15" s="59" t="n"/>
      <c r="FN15" s="59" t="n"/>
      <c r="FO15" s="59" t="n"/>
      <c r="FP15" s="59" t="n"/>
      <c r="FQ15" s="59" t="n"/>
      <c r="FR15" s="59" t="n"/>
      <c r="FS15" s="59" t="n"/>
      <c r="FT15" s="59" t="n"/>
      <c r="FU15" s="59" t="n"/>
      <c r="FV15" s="59" t="n"/>
      <c r="FW15" s="59" t="n"/>
      <c r="FX15" s="59" t="n"/>
      <c r="FY15" s="59" t="n"/>
      <c r="FZ15" s="59" t="n"/>
      <c r="GA15" s="59" t="n"/>
      <c r="GB15" s="59" t="n"/>
      <c r="GC15" s="59" t="n"/>
      <c r="GD15" s="59" t="n"/>
      <c r="GE15" s="59" t="n"/>
      <c r="GF15" s="59" t="n"/>
      <c r="GG15" s="59" t="n"/>
      <c r="GH15" s="59" t="n"/>
      <c r="GI15" s="59" t="n"/>
      <c r="GJ15" s="59" t="n"/>
      <c r="GK15" s="59" t="n"/>
      <c r="GL15" s="59" t="n"/>
      <c r="GM15" s="59" t="n"/>
      <c r="GN15" s="59" t="n"/>
      <c r="GO15" s="59" t="n"/>
      <c r="GP15" s="59" t="n"/>
      <c r="GQ15" s="59" t="n"/>
      <c r="GR15" s="59" t="n"/>
      <c r="GS15" s="59" t="n"/>
      <c r="GT15" s="59" t="n"/>
      <c r="GU15" s="59" t="n"/>
      <c r="GV15" s="59" t="n"/>
      <c r="GW15" s="59" t="n"/>
      <c r="GX15" s="59" t="n"/>
      <c r="GY15" s="59" t="n"/>
      <c r="GZ15" s="59" t="n"/>
      <c r="HA15" s="59" t="n"/>
      <c r="HB15" s="59" t="n"/>
      <c r="HC15" s="59" t="n"/>
      <c r="HD15" s="59" t="n"/>
      <c r="HE15" s="59" t="n"/>
      <c r="HF15" s="59" t="n"/>
      <c r="HG15" s="59" t="n"/>
      <c r="HH15" s="59" t="n"/>
      <c r="HI15" s="59" t="n"/>
      <c r="HJ15" s="59" t="n"/>
      <c r="HK15" s="59" t="n"/>
      <c r="HL15" s="59" t="n"/>
      <c r="HM15" s="59" t="n"/>
      <c r="HN15" s="59" t="n"/>
      <c r="HO15" s="59" t="n"/>
      <c r="HP15" s="59" t="n"/>
      <c r="HQ15" s="59" t="n"/>
      <c r="HR15" s="59" t="n"/>
      <c r="HS15" s="59" t="n"/>
      <c r="HT15" s="59" t="n"/>
      <c r="HU15" s="59" t="n"/>
      <c r="HV15" s="59" t="n"/>
      <c r="HW15" s="59" t="n"/>
      <c r="HX15" s="59" t="n"/>
      <c r="HY15" s="59" t="n"/>
      <c r="HZ15" s="59" t="n"/>
      <c r="IA15" s="59" t="n"/>
      <c r="IB15" s="59" t="n"/>
      <c r="IC15" s="59" t="n"/>
      <c r="ID15" s="59" t="n"/>
      <c r="IE15" s="59" t="n"/>
      <c r="IF15" s="59" t="n"/>
      <c r="IG15" s="59"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81" t="n"/>
      <c r="L16" s="198" t="n"/>
      <c r="M16" s="181" t="n"/>
      <c r="N16" s="181" t="n"/>
      <c r="O16" s="199" t="n"/>
      <c r="P16" s="181" t="n"/>
      <c r="Q16" s="181" t="n"/>
      <c r="R16" s="181" t="n"/>
      <c r="S16" s="181" t="n"/>
      <c r="T16" s="181" t="n"/>
      <c r="U16" s="181" t="n"/>
      <c r="V16" s="181" t="n"/>
      <c r="W16" s="181" t="n"/>
      <c r="X16" s="181" t="n"/>
      <c r="Y16" s="181" t="n"/>
      <c r="Z16" s="181" t="n"/>
      <c r="AA16" s="181" t="n"/>
      <c r="AB16" s="181"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59" t="n"/>
      <c r="BZ16" s="59" t="n"/>
      <c r="CA16" s="59" t="n"/>
      <c r="CB16" s="59" t="n"/>
      <c r="CC16" s="59" t="n"/>
      <c r="CD16" s="59" t="n"/>
      <c r="CE16" s="59" t="n"/>
      <c r="CF16" s="59" t="n"/>
      <c r="CG16" s="59" t="n"/>
      <c r="CH16" s="59"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c r="DE16" s="59" t="n"/>
      <c r="DF16" s="59" t="n"/>
      <c r="DG16" s="59" t="n"/>
      <c r="DH16" s="59" t="n"/>
      <c r="DI16" s="59" t="n"/>
      <c r="DJ16" s="59" t="n"/>
      <c r="DK16" s="59" t="n"/>
      <c r="DL16" s="59" t="n"/>
      <c r="DM16" s="59" t="n"/>
      <c r="DN16" s="59" t="n"/>
      <c r="DO16" s="59" t="n"/>
      <c r="DP16" s="59" t="n"/>
      <c r="DQ16" s="59" t="n"/>
      <c r="DR16" s="59" t="n"/>
      <c r="DS16" s="59" t="n"/>
      <c r="DT16" s="59" t="n"/>
      <c r="DU16" s="59" t="n"/>
      <c r="DV16" s="59" t="n"/>
      <c r="DW16" s="59" t="n"/>
      <c r="DX16" s="59" t="n"/>
      <c r="DY16" s="59" t="n"/>
      <c r="DZ16" s="59" t="n"/>
      <c r="EA16" s="59" t="n"/>
      <c r="EB16" s="59" t="n"/>
      <c r="EC16" s="59" t="n"/>
      <c r="ED16" s="59" t="n"/>
      <c r="EE16" s="59" t="n"/>
      <c r="EF16" s="59" t="n"/>
      <c r="EG16" s="59" t="n"/>
      <c r="EH16" s="59" t="n"/>
      <c r="EI16" s="59" t="n"/>
      <c r="EJ16" s="59" t="n"/>
      <c r="EK16" s="59" t="n"/>
      <c r="EL16" s="59" t="n"/>
      <c r="EM16" s="59" t="n"/>
      <c r="EN16" s="59" t="n"/>
      <c r="EO16" s="59" t="n"/>
      <c r="EP16" s="59" t="n"/>
      <c r="EQ16" s="59" t="n"/>
      <c r="ER16" s="59" t="n"/>
      <c r="ES16" s="59" t="n"/>
      <c r="ET16" s="59" t="n"/>
      <c r="EU16" s="59" t="n"/>
      <c r="EV16" s="59" t="n"/>
      <c r="EW16" s="59" t="n"/>
      <c r="EX16" s="59" t="n"/>
      <c r="EY16" s="59" t="n"/>
      <c r="EZ16" s="59" t="n"/>
      <c r="FA16" s="59" t="n"/>
      <c r="FB16" s="59" t="n"/>
      <c r="FC16" s="59" t="n"/>
      <c r="FD16" s="59" t="n"/>
      <c r="FE16" s="59" t="n"/>
      <c r="FF16" s="59" t="n"/>
      <c r="FG16" s="59" t="n"/>
      <c r="FH16" s="59" t="n"/>
      <c r="FI16" s="59" t="n"/>
      <c r="FJ16" s="59" t="n"/>
      <c r="FK16" s="59" t="n"/>
      <c r="FL16" s="59" t="n"/>
      <c r="FM16" s="59" t="n"/>
      <c r="FN16" s="59" t="n"/>
      <c r="FO16" s="59" t="n"/>
      <c r="FP16" s="59" t="n"/>
      <c r="FQ16" s="59" t="n"/>
      <c r="FR16" s="59" t="n"/>
      <c r="FS16" s="59" t="n"/>
      <c r="FT16" s="59" t="n"/>
      <c r="FU16" s="59" t="n"/>
      <c r="FV16" s="59" t="n"/>
      <c r="FW16" s="59" t="n"/>
      <c r="FX16" s="59" t="n"/>
      <c r="FY16" s="59" t="n"/>
      <c r="FZ16" s="59" t="n"/>
      <c r="GA16" s="59" t="n"/>
      <c r="GB16" s="59" t="n"/>
      <c r="GC16" s="59" t="n"/>
      <c r="GD16" s="59" t="n"/>
      <c r="GE16" s="59" t="n"/>
      <c r="GF16" s="59" t="n"/>
      <c r="GG16" s="59" t="n"/>
      <c r="GH16" s="59" t="n"/>
      <c r="GI16" s="59" t="n"/>
      <c r="GJ16" s="59" t="n"/>
      <c r="GK16" s="59" t="n"/>
      <c r="GL16" s="59" t="n"/>
      <c r="GM16" s="59" t="n"/>
      <c r="GN16" s="59" t="n"/>
      <c r="GO16" s="59" t="n"/>
      <c r="GP16" s="59" t="n"/>
      <c r="GQ16" s="59" t="n"/>
      <c r="GR16" s="59" t="n"/>
      <c r="GS16" s="59" t="n"/>
      <c r="GT16" s="59" t="n"/>
      <c r="GU16" s="59" t="n"/>
      <c r="GV16" s="59" t="n"/>
      <c r="GW16" s="59" t="n"/>
      <c r="GX16" s="59" t="n"/>
      <c r="GY16" s="59" t="n"/>
      <c r="GZ16" s="59" t="n"/>
      <c r="HA16" s="59" t="n"/>
      <c r="HB16" s="59" t="n"/>
      <c r="HC16" s="59" t="n"/>
      <c r="HD16" s="59" t="n"/>
      <c r="HE16" s="59" t="n"/>
      <c r="HF16" s="59" t="n"/>
      <c r="HG16" s="59" t="n"/>
      <c r="HH16" s="59" t="n"/>
      <c r="HI16" s="59" t="n"/>
      <c r="HJ16" s="59" t="n"/>
      <c r="HK16" s="59" t="n"/>
      <c r="HL16" s="59" t="n"/>
      <c r="HM16" s="59" t="n"/>
      <c r="HN16" s="59" t="n"/>
      <c r="HO16" s="59" t="n"/>
      <c r="HP16" s="59" t="n"/>
      <c r="HQ16" s="59" t="n"/>
      <c r="HR16" s="59" t="n"/>
      <c r="HS16" s="59" t="n"/>
      <c r="HT16" s="59" t="n"/>
      <c r="HU16" s="59" t="n"/>
      <c r="HV16" s="59" t="n"/>
      <c r="HW16" s="59" t="n"/>
      <c r="HX16" s="59" t="n"/>
      <c r="HY16" s="59" t="n"/>
      <c r="HZ16" s="59" t="n"/>
      <c r="IA16" s="59" t="n"/>
      <c r="IB16" s="59" t="n"/>
      <c r="IC16" s="59" t="n"/>
      <c r="ID16" s="59" t="n"/>
      <c r="IE16" s="59" t="n"/>
      <c r="IF16" s="59" t="n"/>
      <c r="IG16" s="59" t="n"/>
    </row>
    <row r="17" ht="16.5" customHeight="1">
      <c r="A17" s="181" t="n"/>
      <c r="B17" s="181" t="inlineStr">
        <is>
          <t>Mortgage Costant</t>
        </is>
      </c>
      <c r="C17" s="193">
        <f>IFERROR(PMT(C16/12,C$10,(-1))*12," ")</f>
        <v/>
      </c>
      <c r="D17" s="181" t="n"/>
      <c r="E17" s="181" t="n"/>
      <c r="F17" s="208" t="n">
        <v>11</v>
      </c>
      <c r="G17" s="209">
        <f>$C$39</f>
        <v/>
      </c>
      <c r="H17" s="209">
        <f>(J16*$C$16)/12</f>
        <v/>
      </c>
      <c r="I17" s="209" t="n">
        <v>0</v>
      </c>
      <c r="J17" s="209">
        <f>J16-I17</f>
        <v/>
      </c>
      <c r="K17" s="181" t="n"/>
      <c r="L17" s="181" t="n"/>
      <c r="M17" s="181" t="n"/>
      <c r="N17" s="181" t="n"/>
      <c r="O17" s="199" t="n"/>
      <c r="P17" s="181" t="n"/>
      <c r="Q17" s="181" t="n"/>
      <c r="R17" s="181" t="n"/>
      <c r="S17" s="181" t="n"/>
      <c r="T17" s="181" t="n"/>
      <c r="U17" s="181" t="n"/>
      <c r="V17" s="181" t="n"/>
      <c r="W17" s="181" t="n"/>
      <c r="X17" s="181" t="n"/>
      <c r="Y17" s="181" t="n"/>
      <c r="Z17" s="181" t="n"/>
      <c r="AA17" s="181" t="n"/>
      <c r="AB17" s="181"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59" t="n"/>
      <c r="BZ17" s="59" t="n"/>
      <c r="CA17" s="59" t="n"/>
      <c r="CB17" s="59" t="n"/>
      <c r="CC17" s="59" t="n"/>
      <c r="CD17" s="59" t="n"/>
      <c r="CE17" s="59" t="n"/>
      <c r="CF17" s="59" t="n"/>
      <c r="CG17" s="59" t="n"/>
      <c r="CH17" s="59" t="n"/>
      <c r="CI17" s="59" t="n"/>
      <c r="CJ17" s="59" t="n"/>
      <c r="CK17" s="59" t="n"/>
      <c r="CL17" s="59" t="n"/>
      <c r="CM17" s="59" t="n"/>
      <c r="CN17" s="59" t="n"/>
      <c r="CO17" s="59" t="n"/>
      <c r="CP17" s="59" t="n"/>
      <c r="CQ17" s="59" t="n"/>
      <c r="CR17" s="59" t="n"/>
      <c r="CS17" s="59" t="n"/>
      <c r="CT17" s="59" t="n"/>
      <c r="CU17" s="59" t="n"/>
      <c r="CV17" s="59" t="n"/>
      <c r="CW17" s="59" t="n"/>
      <c r="CX17" s="59" t="n"/>
      <c r="CY17" s="59" t="n"/>
      <c r="CZ17" s="59" t="n"/>
      <c r="DA17" s="59" t="n"/>
      <c r="DB17" s="59" t="n"/>
      <c r="DC17" s="59" t="n"/>
      <c r="DD17" s="59" t="n"/>
      <c r="DE17" s="59" t="n"/>
      <c r="DF17" s="59" t="n"/>
      <c r="DG17" s="59" t="n"/>
      <c r="DH17" s="59" t="n"/>
      <c r="DI17" s="59" t="n"/>
      <c r="DJ17" s="59" t="n"/>
      <c r="DK17" s="59" t="n"/>
      <c r="DL17" s="59" t="n"/>
      <c r="DM17" s="59" t="n"/>
      <c r="DN17" s="59" t="n"/>
      <c r="DO17" s="59" t="n"/>
      <c r="DP17" s="59" t="n"/>
      <c r="DQ17" s="59" t="n"/>
      <c r="DR17" s="59" t="n"/>
      <c r="DS17" s="59" t="n"/>
      <c r="DT17" s="59" t="n"/>
      <c r="DU17" s="59" t="n"/>
      <c r="DV17" s="59" t="n"/>
      <c r="DW17" s="59" t="n"/>
      <c r="DX17" s="59" t="n"/>
      <c r="DY17" s="59" t="n"/>
      <c r="DZ17" s="59" t="n"/>
      <c r="EA17" s="59" t="n"/>
      <c r="EB17" s="59" t="n"/>
      <c r="EC17" s="59" t="n"/>
      <c r="ED17" s="59" t="n"/>
      <c r="EE17" s="59" t="n"/>
      <c r="EF17" s="59" t="n"/>
      <c r="EG17" s="59" t="n"/>
      <c r="EH17" s="59" t="n"/>
      <c r="EI17" s="59" t="n"/>
      <c r="EJ17" s="59" t="n"/>
      <c r="EK17" s="59" t="n"/>
      <c r="EL17" s="59" t="n"/>
      <c r="EM17" s="59" t="n"/>
      <c r="EN17" s="59" t="n"/>
      <c r="EO17" s="59" t="n"/>
      <c r="EP17" s="59" t="n"/>
      <c r="EQ17" s="59" t="n"/>
      <c r="ER17" s="59" t="n"/>
      <c r="ES17" s="59" t="n"/>
      <c r="ET17" s="59" t="n"/>
      <c r="EU17" s="59" t="n"/>
      <c r="EV17" s="59" t="n"/>
      <c r="EW17" s="59" t="n"/>
      <c r="EX17" s="59" t="n"/>
      <c r="EY17" s="59" t="n"/>
      <c r="EZ17" s="59" t="n"/>
      <c r="FA17" s="59" t="n"/>
      <c r="FB17" s="59" t="n"/>
      <c r="FC17" s="59" t="n"/>
      <c r="FD17" s="59" t="n"/>
      <c r="FE17" s="59" t="n"/>
      <c r="FF17" s="59" t="n"/>
      <c r="FG17" s="59" t="n"/>
      <c r="FH17" s="59" t="n"/>
      <c r="FI17" s="59" t="n"/>
      <c r="FJ17" s="59" t="n"/>
      <c r="FK17" s="59" t="n"/>
      <c r="FL17" s="59" t="n"/>
      <c r="FM17" s="59" t="n"/>
      <c r="FN17" s="59" t="n"/>
      <c r="FO17" s="59" t="n"/>
      <c r="FP17" s="59" t="n"/>
      <c r="FQ17" s="59" t="n"/>
      <c r="FR17" s="59" t="n"/>
      <c r="FS17" s="59" t="n"/>
      <c r="FT17" s="59" t="n"/>
      <c r="FU17" s="59" t="n"/>
      <c r="FV17" s="59" t="n"/>
      <c r="FW17" s="59" t="n"/>
      <c r="FX17" s="59" t="n"/>
      <c r="FY17" s="59" t="n"/>
      <c r="FZ17" s="59" t="n"/>
      <c r="GA17" s="59" t="n"/>
      <c r="GB17" s="59" t="n"/>
      <c r="GC17" s="59" t="n"/>
      <c r="GD17" s="59" t="n"/>
      <c r="GE17" s="59" t="n"/>
      <c r="GF17" s="59" t="n"/>
      <c r="GG17" s="59" t="n"/>
      <c r="GH17" s="59" t="n"/>
      <c r="GI17" s="59" t="n"/>
      <c r="GJ17" s="59" t="n"/>
      <c r="GK17" s="59" t="n"/>
      <c r="GL17" s="59" t="n"/>
      <c r="GM17" s="59" t="n"/>
      <c r="GN17" s="59" t="n"/>
      <c r="GO17" s="59" t="n"/>
      <c r="GP17" s="59" t="n"/>
      <c r="GQ17" s="59" t="n"/>
      <c r="GR17" s="59" t="n"/>
      <c r="GS17" s="59" t="n"/>
      <c r="GT17" s="59" t="n"/>
      <c r="GU17" s="59" t="n"/>
      <c r="GV17" s="59" t="n"/>
      <c r="GW17" s="59" t="n"/>
      <c r="GX17" s="59" t="n"/>
      <c r="GY17" s="59" t="n"/>
      <c r="GZ17" s="59" t="n"/>
      <c r="HA17" s="59" t="n"/>
      <c r="HB17" s="59" t="n"/>
      <c r="HC17" s="59" t="n"/>
      <c r="HD17" s="59" t="n"/>
      <c r="HE17" s="59" t="n"/>
      <c r="HF17" s="59" t="n"/>
      <c r="HG17" s="59" t="n"/>
      <c r="HH17" s="59" t="n"/>
      <c r="HI17" s="59" t="n"/>
      <c r="HJ17" s="59" t="n"/>
      <c r="HK17" s="59" t="n"/>
      <c r="HL17" s="59" t="n"/>
      <c r="HM17" s="59" t="n"/>
      <c r="HN17" s="59" t="n"/>
      <c r="HO17" s="59" t="n"/>
      <c r="HP17" s="59" t="n"/>
      <c r="HQ17" s="59" t="n"/>
      <c r="HR17" s="59" t="n"/>
      <c r="HS17" s="59" t="n"/>
      <c r="HT17" s="59" t="n"/>
      <c r="HU17" s="59" t="n"/>
      <c r="HV17" s="59" t="n"/>
      <c r="HW17" s="59" t="n"/>
      <c r="HX17" s="59" t="n"/>
      <c r="HY17" s="59" t="n"/>
      <c r="HZ17" s="59" t="n"/>
      <c r="IA17" s="59" t="n"/>
      <c r="IB17" s="59" t="n"/>
      <c r="IC17" s="59" t="n"/>
      <c r="ID17" s="59" t="n"/>
      <c r="IE17" s="59" t="n"/>
      <c r="IF17" s="59" t="n"/>
      <c r="IG17" s="59" t="n"/>
    </row>
    <row r="18" ht="16.5" customHeight="1">
      <c r="A18" s="181" t="n"/>
      <c r="D18" s="181" t="n"/>
      <c r="E18" s="181" t="n"/>
      <c r="F18" s="491" t="n">
        <v>12</v>
      </c>
      <c r="G18" s="492">
        <f>$C$39</f>
        <v/>
      </c>
      <c r="H18" s="492">
        <f>(J17*$C$16)/12</f>
        <v/>
      </c>
      <c r="I18" s="492" t="n">
        <v>0</v>
      </c>
      <c r="J18" s="492">
        <f>J17-I18</f>
        <v/>
      </c>
      <c r="K18" s="181" t="n"/>
      <c r="L18" s="181" t="n"/>
      <c r="M18" s="181" t="n"/>
      <c r="N18" s="181" t="n"/>
      <c r="O18" s="199" t="n"/>
      <c r="P18" s="181" t="n"/>
      <c r="Q18" s="181" t="n"/>
      <c r="R18" s="181" t="n"/>
      <c r="S18" s="181" t="n"/>
      <c r="T18" s="181" t="n"/>
      <c r="U18" s="181" t="n"/>
      <c r="V18" s="181" t="n"/>
      <c r="W18" s="181" t="n"/>
      <c r="X18" s="181" t="n"/>
      <c r="Y18" s="181" t="n"/>
      <c r="Z18" s="181" t="n"/>
      <c r="AA18" s="181" t="n"/>
      <c r="AB18" s="181"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59" t="n"/>
      <c r="BZ18" s="59" t="n"/>
      <c r="CA18" s="59" t="n"/>
      <c r="CB18" s="59" t="n"/>
      <c r="CC18" s="59" t="n"/>
      <c r="CD18" s="59" t="n"/>
      <c r="CE18" s="59" t="n"/>
      <c r="CF18" s="59" t="n"/>
      <c r="CG18" s="59" t="n"/>
      <c r="CH18" s="59" t="n"/>
      <c r="CI18" s="59" t="n"/>
      <c r="CJ18" s="59" t="n"/>
      <c r="CK18" s="59" t="n"/>
      <c r="CL18" s="59" t="n"/>
      <c r="CM18" s="59" t="n"/>
      <c r="CN18" s="59" t="n"/>
      <c r="CO18" s="59" t="n"/>
      <c r="CP18" s="59" t="n"/>
      <c r="CQ18" s="59" t="n"/>
      <c r="CR18" s="59" t="n"/>
      <c r="CS18" s="59" t="n"/>
      <c r="CT18" s="59" t="n"/>
      <c r="CU18" s="59" t="n"/>
      <c r="CV18" s="59" t="n"/>
      <c r="CW18" s="59" t="n"/>
      <c r="CX18" s="59" t="n"/>
      <c r="CY18" s="59" t="n"/>
      <c r="CZ18" s="59" t="n"/>
      <c r="DA18" s="59" t="n"/>
      <c r="DB18" s="59" t="n"/>
      <c r="DC18" s="59" t="n"/>
      <c r="DD18" s="59" t="n"/>
      <c r="DE18" s="59" t="n"/>
      <c r="DF18" s="59" t="n"/>
      <c r="DG18" s="59" t="n"/>
      <c r="DH18" s="59" t="n"/>
      <c r="DI18" s="59" t="n"/>
      <c r="DJ18" s="59" t="n"/>
      <c r="DK18" s="59" t="n"/>
      <c r="DL18" s="59" t="n"/>
      <c r="DM18" s="59" t="n"/>
      <c r="DN18" s="59" t="n"/>
      <c r="DO18" s="59" t="n"/>
      <c r="DP18" s="59" t="n"/>
      <c r="DQ18" s="59" t="n"/>
      <c r="DR18" s="59" t="n"/>
      <c r="DS18" s="59" t="n"/>
      <c r="DT18" s="59" t="n"/>
      <c r="DU18" s="59" t="n"/>
      <c r="DV18" s="59" t="n"/>
      <c r="DW18" s="59" t="n"/>
      <c r="DX18" s="59" t="n"/>
      <c r="DY18" s="59" t="n"/>
      <c r="DZ18" s="59" t="n"/>
      <c r="EA18" s="59" t="n"/>
      <c r="EB18" s="59" t="n"/>
      <c r="EC18" s="59" t="n"/>
      <c r="ED18" s="59" t="n"/>
      <c r="EE18" s="59" t="n"/>
      <c r="EF18" s="59" t="n"/>
      <c r="EG18" s="59" t="n"/>
      <c r="EH18" s="59" t="n"/>
      <c r="EI18" s="59" t="n"/>
      <c r="EJ18" s="59" t="n"/>
      <c r="EK18" s="59" t="n"/>
      <c r="EL18" s="59" t="n"/>
      <c r="EM18" s="59" t="n"/>
      <c r="EN18" s="59" t="n"/>
      <c r="EO18" s="59" t="n"/>
      <c r="EP18" s="59" t="n"/>
      <c r="EQ18" s="59" t="n"/>
      <c r="ER18" s="59" t="n"/>
      <c r="ES18" s="59" t="n"/>
      <c r="ET18" s="59" t="n"/>
      <c r="EU18" s="59" t="n"/>
      <c r="EV18" s="59" t="n"/>
      <c r="EW18" s="59" t="n"/>
      <c r="EX18" s="59" t="n"/>
      <c r="EY18" s="59" t="n"/>
      <c r="EZ18" s="59" t="n"/>
      <c r="FA18" s="59" t="n"/>
      <c r="FB18" s="59" t="n"/>
      <c r="FC18" s="59" t="n"/>
      <c r="FD18" s="59" t="n"/>
      <c r="FE18" s="59" t="n"/>
      <c r="FF18" s="59" t="n"/>
      <c r="FG18" s="59" t="n"/>
      <c r="FH18" s="59" t="n"/>
      <c r="FI18" s="59" t="n"/>
      <c r="FJ18" s="59" t="n"/>
      <c r="FK18" s="59" t="n"/>
      <c r="FL18" s="59" t="n"/>
      <c r="FM18" s="59" t="n"/>
      <c r="FN18" s="59" t="n"/>
      <c r="FO18" s="59" t="n"/>
      <c r="FP18" s="59" t="n"/>
      <c r="FQ18" s="59" t="n"/>
      <c r="FR18" s="59" t="n"/>
      <c r="FS18" s="59" t="n"/>
      <c r="FT18" s="59" t="n"/>
      <c r="FU18" s="59" t="n"/>
      <c r="FV18" s="59" t="n"/>
      <c r="FW18" s="59" t="n"/>
      <c r="FX18" s="59" t="n"/>
      <c r="FY18" s="59" t="n"/>
      <c r="FZ18" s="59" t="n"/>
      <c r="GA18" s="59" t="n"/>
      <c r="GB18" s="59" t="n"/>
      <c r="GC18" s="59" t="n"/>
      <c r="GD18" s="59" t="n"/>
      <c r="GE18" s="59" t="n"/>
      <c r="GF18" s="59" t="n"/>
      <c r="GG18" s="59" t="n"/>
      <c r="GH18" s="59" t="n"/>
      <c r="GI18" s="59" t="n"/>
      <c r="GJ18" s="59" t="n"/>
      <c r="GK18" s="59" t="n"/>
      <c r="GL18" s="59" t="n"/>
      <c r="GM18" s="59" t="n"/>
      <c r="GN18" s="59" t="n"/>
      <c r="GO18" s="59" t="n"/>
      <c r="GP18" s="59" t="n"/>
      <c r="GQ18" s="59" t="n"/>
      <c r="GR18" s="59" t="n"/>
      <c r="GS18" s="59" t="n"/>
      <c r="GT18" s="59" t="n"/>
      <c r="GU18" s="59" t="n"/>
      <c r="GV18" s="59" t="n"/>
      <c r="GW18" s="59" t="n"/>
      <c r="GX18" s="59" t="n"/>
      <c r="GY18" s="59" t="n"/>
      <c r="GZ18" s="59" t="n"/>
      <c r="HA18" s="59" t="n"/>
      <c r="HB18" s="59" t="n"/>
      <c r="HC18" s="59" t="n"/>
      <c r="HD18" s="59" t="n"/>
      <c r="HE18" s="59" t="n"/>
      <c r="HF18" s="59" t="n"/>
      <c r="HG18" s="59" t="n"/>
      <c r="HH18" s="59" t="n"/>
      <c r="HI18" s="59" t="n"/>
      <c r="HJ18" s="59" t="n"/>
      <c r="HK18" s="59" t="n"/>
      <c r="HL18" s="59" t="n"/>
      <c r="HM18" s="59" t="n"/>
      <c r="HN18" s="59" t="n"/>
      <c r="HO18" s="59" t="n"/>
      <c r="HP18" s="59" t="n"/>
      <c r="HQ18" s="59" t="n"/>
      <c r="HR18" s="59" t="n"/>
      <c r="HS18" s="59" t="n"/>
      <c r="HT18" s="59" t="n"/>
      <c r="HU18" s="59" t="n"/>
      <c r="HV18" s="59" t="n"/>
      <c r="HW18" s="59" t="n"/>
      <c r="HX18" s="59" t="n"/>
      <c r="HY18" s="59" t="n"/>
      <c r="HZ18" s="59" t="n"/>
      <c r="IA18" s="59" t="n"/>
      <c r="IB18" s="59" t="n"/>
      <c r="IC18" s="59" t="n"/>
      <c r="ID18" s="59" t="n"/>
      <c r="IE18" s="59" t="n"/>
      <c r="IF18" s="59" t="n"/>
      <c r="IG18" s="59"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81" t="n"/>
      <c r="L19" s="181" t="n"/>
      <c r="M19" s="181" t="n"/>
      <c r="N19" s="181" t="n"/>
      <c r="O19" s="199" t="n"/>
      <c r="P19" s="181" t="n"/>
      <c r="Q19" s="181" t="n"/>
      <c r="R19" s="181" t="n"/>
      <c r="S19" s="181" t="n"/>
      <c r="T19" s="181" t="n"/>
      <c r="U19" s="181" t="n"/>
      <c r="V19" s="181" t="n"/>
      <c r="W19" s="181" t="n"/>
      <c r="X19" s="181" t="n"/>
      <c r="Y19" s="181" t="n"/>
      <c r="Z19" s="181" t="n"/>
      <c r="AA19" s="181" t="n"/>
      <c r="AB19" s="181"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59" t="n"/>
      <c r="BZ19" s="59" t="n"/>
      <c r="CA19" s="59" t="n"/>
      <c r="CB19" s="59" t="n"/>
      <c r="CC19" s="59" t="n"/>
      <c r="CD19" s="59" t="n"/>
      <c r="CE19" s="59" t="n"/>
      <c r="CF19" s="59" t="n"/>
      <c r="CG19" s="59" t="n"/>
      <c r="CH19" s="59" t="n"/>
      <c r="CI19" s="59" t="n"/>
      <c r="CJ19" s="59" t="n"/>
      <c r="CK19" s="59" t="n"/>
      <c r="CL19" s="59" t="n"/>
      <c r="CM19" s="59" t="n"/>
      <c r="CN19" s="59" t="n"/>
      <c r="CO19" s="59" t="n"/>
      <c r="CP19" s="59" t="n"/>
      <c r="CQ19" s="59" t="n"/>
      <c r="CR19" s="59" t="n"/>
      <c r="CS19" s="59" t="n"/>
      <c r="CT19" s="59" t="n"/>
      <c r="CU19" s="59" t="n"/>
      <c r="CV19" s="59" t="n"/>
      <c r="CW19" s="59" t="n"/>
      <c r="CX19" s="59" t="n"/>
      <c r="CY19" s="59" t="n"/>
      <c r="CZ19" s="59" t="n"/>
      <c r="DA19" s="59" t="n"/>
      <c r="DB19" s="59" t="n"/>
      <c r="DC19" s="59" t="n"/>
      <c r="DD19" s="59" t="n"/>
      <c r="DE19" s="59" t="n"/>
      <c r="DF19" s="59" t="n"/>
      <c r="DG19" s="59" t="n"/>
      <c r="DH19" s="59" t="n"/>
      <c r="DI19" s="59" t="n"/>
      <c r="DJ19" s="59" t="n"/>
      <c r="DK19" s="59" t="n"/>
      <c r="DL19" s="59" t="n"/>
      <c r="DM19" s="59" t="n"/>
      <c r="DN19" s="59" t="n"/>
      <c r="DO19" s="59" t="n"/>
      <c r="DP19" s="59" t="n"/>
      <c r="DQ19" s="59" t="n"/>
      <c r="DR19" s="59" t="n"/>
      <c r="DS19" s="59" t="n"/>
      <c r="DT19" s="59" t="n"/>
      <c r="DU19" s="59" t="n"/>
      <c r="DV19" s="59" t="n"/>
      <c r="DW19" s="59" t="n"/>
      <c r="DX19" s="59" t="n"/>
      <c r="DY19" s="59" t="n"/>
      <c r="DZ19" s="59" t="n"/>
      <c r="EA19" s="59" t="n"/>
      <c r="EB19" s="59" t="n"/>
      <c r="EC19" s="59" t="n"/>
      <c r="ED19" s="59" t="n"/>
      <c r="EE19" s="59" t="n"/>
      <c r="EF19" s="59" t="n"/>
      <c r="EG19" s="59" t="n"/>
      <c r="EH19" s="59" t="n"/>
      <c r="EI19" s="59" t="n"/>
      <c r="EJ19" s="59" t="n"/>
      <c r="EK19" s="59" t="n"/>
      <c r="EL19" s="59" t="n"/>
      <c r="EM19" s="59" t="n"/>
      <c r="EN19" s="59" t="n"/>
      <c r="EO19" s="59" t="n"/>
      <c r="EP19" s="59" t="n"/>
      <c r="EQ19" s="59" t="n"/>
      <c r="ER19" s="59" t="n"/>
      <c r="ES19" s="59" t="n"/>
      <c r="ET19" s="59" t="n"/>
      <c r="EU19" s="59" t="n"/>
      <c r="EV19" s="59" t="n"/>
      <c r="EW19" s="59" t="n"/>
      <c r="EX19" s="59" t="n"/>
      <c r="EY19" s="59" t="n"/>
      <c r="EZ19" s="59" t="n"/>
      <c r="FA19" s="59" t="n"/>
      <c r="FB19" s="59" t="n"/>
      <c r="FC19" s="59" t="n"/>
      <c r="FD19" s="59" t="n"/>
      <c r="FE19" s="59" t="n"/>
      <c r="FF19" s="59" t="n"/>
      <c r="FG19" s="59" t="n"/>
      <c r="FH19" s="59" t="n"/>
      <c r="FI19" s="59" t="n"/>
      <c r="FJ19" s="59" t="n"/>
      <c r="FK19" s="59" t="n"/>
      <c r="FL19" s="59" t="n"/>
      <c r="FM19" s="59" t="n"/>
      <c r="FN19" s="59" t="n"/>
      <c r="FO19" s="59" t="n"/>
      <c r="FP19" s="59" t="n"/>
      <c r="FQ19" s="59" t="n"/>
      <c r="FR19" s="59" t="n"/>
      <c r="FS19" s="59" t="n"/>
      <c r="FT19" s="59" t="n"/>
      <c r="FU19" s="59" t="n"/>
      <c r="FV19" s="59" t="n"/>
      <c r="FW19" s="59" t="n"/>
      <c r="FX19" s="59" t="n"/>
      <c r="FY19" s="59" t="n"/>
      <c r="FZ19" s="59" t="n"/>
      <c r="GA19" s="59" t="n"/>
      <c r="GB19" s="59" t="n"/>
      <c r="GC19" s="59" t="n"/>
      <c r="GD19" s="59" t="n"/>
      <c r="GE19" s="59" t="n"/>
      <c r="GF19" s="59" t="n"/>
      <c r="GG19" s="59" t="n"/>
      <c r="GH19" s="59" t="n"/>
      <c r="GI19" s="59" t="n"/>
      <c r="GJ19" s="59" t="n"/>
      <c r="GK19" s="59" t="n"/>
      <c r="GL19" s="59" t="n"/>
      <c r="GM19" s="59" t="n"/>
      <c r="GN19" s="59" t="n"/>
      <c r="GO19" s="59" t="n"/>
      <c r="GP19" s="59" t="n"/>
      <c r="GQ19" s="59" t="n"/>
      <c r="GR19" s="59" t="n"/>
      <c r="GS19" s="59" t="n"/>
      <c r="GT19" s="59" t="n"/>
      <c r="GU19" s="59" t="n"/>
      <c r="GV19" s="59" t="n"/>
      <c r="GW19" s="59" t="n"/>
      <c r="GX19" s="59" t="n"/>
      <c r="GY19" s="59" t="n"/>
      <c r="GZ19" s="59" t="n"/>
      <c r="HA19" s="59" t="n"/>
      <c r="HB19" s="59" t="n"/>
      <c r="HC19" s="59" t="n"/>
      <c r="HD19" s="59" t="n"/>
      <c r="HE19" s="59" t="n"/>
      <c r="HF19" s="59" t="n"/>
      <c r="HG19" s="59" t="n"/>
      <c r="HH19" s="59" t="n"/>
      <c r="HI19" s="59" t="n"/>
      <c r="HJ19" s="59" t="n"/>
      <c r="HK19" s="59" t="n"/>
      <c r="HL19" s="59" t="n"/>
      <c r="HM19" s="59" t="n"/>
      <c r="HN19" s="59" t="n"/>
      <c r="HO19" s="59" t="n"/>
      <c r="HP19" s="59" t="n"/>
      <c r="HQ19" s="59" t="n"/>
      <c r="HR19" s="59" t="n"/>
      <c r="HS19" s="59" t="n"/>
      <c r="HT19" s="59" t="n"/>
      <c r="HU19" s="59" t="n"/>
      <c r="HV19" s="59" t="n"/>
      <c r="HW19" s="59" t="n"/>
      <c r="HX19" s="59" t="n"/>
      <c r="HY19" s="59" t="n"/>
      <c r="HZ19" s="59" t="n"/>
      <c r="IA19" s="59" t="n"/>
      <c r="IB19" s="59" t="n"/>
      <c r="IC19" s="59" t="n"/>
      <c r="ID19" s="59" t="n"/>
      <c r="IE19" s="59" t="n"/>
      <c r="IF19" s="59" t="n"/>
      <c r="IG19" s="59" t="n"/>
    </row>
    <row r="20" ht="16.5" customHeight="1">
      <c r="A20" s="181" t="n"/>
      <c r="B20" s="181" t="inlineStr">
        <is>
          <t>Closing Costs</t>
        </is>
      </c>
      <c r="C20" s="265" t="n">
        <v>0</v>
      </c>
      <c r="D20" s="181" t="n"/>
      <c r="E20" s="181" t="n"/>
      <c r="F20" s="208" t="n">
        <v>14</v>
      </c>
      <c r="G20" s="209">
        <f>$C$39</f>
        <v/>
      </c>
      <c r="H20" s="209">
        <f>(J19*$C$16)/12</f>
        <v/>
      </c>
      <c r="I20" s="209" t="n">
        <v>0</v>
      </c>
      <c r="J20" s="209">
        <f>J19-I20</f>
        <v/>
      </c>
      <c r="K20" s="181" t="n"/>
      <c r="L20" s="181" t="n"/>
      <c r="M20" s="181" t="n"/>
      <c r="N20" s="181" t="n"/>
      <c r="O20" s="199" t="n"/>
      <c r="P20" s="181" t="n"/>
      <c r="Q20" s="957" t="n"/>
      <c r="R20" s="957" t="n"/>
      <c r="S20" s="958" t="n"/>
      <c r="T20" s="181" t="n"/>
      <c r="U20" s="181" t="n"/>
      <c r="V20" s="181" t="n"/>
      <c r="W20" s="181" t="n"/>
      <c r="X20" s="181" t="n"/>
      <c r="Y20" s="181" t="n"/>
      <c r="Z20" s="181" t="n"/>
      <c r="AA20" s="181" t="n"/>
      <c r="AB20" s="181"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59" t="n"/>
      <c r="BZ20" s="59" t="n"/>
      <c r="CA20" s="59" t="n"/>
      <c r="CB20" s="59" t="n"/>
      <c r="CC20" s="59" t="n"/>
      <c r="CD20" s="59" t="n"/>
      <c r="CE20" s="59" t="n"/>
      <c r="CF20" s="59" t="n"/>
      <c r="CG20" s="59" t="n"/>
      <c r="CH20" s="59" t="n"/>
      <c r="CI20" s="59" t="n"/>
      <c r="CJ20" s="59" t="n"/>
      <c r="CK20" s="59" t="n"/>
      <c r="CL20" s="59" t="n"/>
      <c r="CM20" s="59" t="n"/>
      <c r="CN20" s="59" t="n"/>
      <c r="CO20" s="59" t="n"/>
      <c r="CP20" s="59" t="n"/>
      <c r="CQ20" s="59" t="n"/>
      <c r="CR20" s="59" t="n"/>
      <c r="CS20" s="59" t="n"/>
      <c r="CT20" s="59" t="n"/>
      <c r="CU20" s="59" t="n"/>
      <c r="CV20" s="59" t="n"/>
      <c r="CW20" s="59" t="n"/>
      <c r="CX20" s="59" t="n"/>
      <c r="CY20" s="59" t="n"/>
      <c r="CZ20" s="59" t="n"/>
      <c r="DA20" s="59" t="n"/>
      <c r="DB20" s="59" t="n"/>
      <c r="DC20" s="59" t="n"/>
      <c r="DD20" s="59" t="n"/>
      <c r="DE20" s="59" t="n"/>
      <c r="DF20" s="59" t="n"/>
      <c r="DG20" s="59" t="n"/>
      <c r="DH20" s="59" t="n"/>
      <c r="DI20" s="59" t="n"/>
      <c r="DJ20" s="59" t="n"/>
      <c r="DK20" s="59" t="n"/>
      <c r="DL20" s="59" t="n"/>
      <c r="DM20" s="59" t="n"/>
      <c r="DN20" s="59" t="n"/>
      <c r="DO20" s="59" t="n"/>
      <c r="DP20" s="59" t="n"/>
      <c r="DQ20" s="59" t="n"/>
      <c r="DR20" s="59" t="n"/>
      <c r="DS20" s="59" t="n"/>
      <c r="DT20" s="59" t="n"/>
      <c r="DU20" s="59" t="n"/>
      <c r="DV20" s="59" t="n"/>
      <c r="DW20" s="59" t="n"/>
      <c r="DX20" s="59" t="n"/>
      <c r="DY20" s="59" t="n"/>
      <c r="DZ20" s="59" t="n"/>
      <c r="EA20" s="59" t="n"/>
      <c r="EB20" s="59" t="n"/>
      <c r="EC20" s="59" t="n"/>
      <c r="ED20" s="59" t="n"/>
      <c r="EE20" s="59" t="n"/>
      <c r="EF20" s="59" t="n"/>
      <c r="EG20" s="59" t="n"/>
      <c r="EH20" s="59" t="n"/>
      <c r="EI20" s="59" t="n"/>
      <c r="EJ20" s="59" t="n"/>
      <c r="EK20" s="59" t="n"/>
      <c r="EL20" s="59" t="n"/>
      <c r="EM20" s="59" t="n"/>
      <c r="EN20" s="59" t="n"/>
      <c r="EO20" s="59" t="n"/>
      <c r="EP20" s="59" t="n"/>
      <c r="EQ20" s="59" t="n"/>
      <c r="ER20" s="59" t="n"/>
      <c r="ES20" s="59" t="n"/>
      <c r="ET20" s="59" t="n"/>
      <c r="EU20" s="59" t="n"/>
      <c r="EV20" s="59" t="n"/>
      <c r="EW20" s="59" t="n"/>
      <c r="EX20" s="59" t="n"/>
      <c r="EY20" s="59" t="n"/>
      <c r="EZ20" s="59" t="n"/>
      <c r="FA20" s="59" t="n"/>
      <c r="FB20" s="59" t="n"/>
      <c r="FC20" s="59" t="n"/>
      <c r="FD20" s="59" t="n"/>
      <c r="FE20" s="59" t="n"/>
      <c r="FF20" s="59" t="n"/>
      <c r="FG20" s="59" t="n"/>
      <c r="FH20" s="59" t="n"/>
      <c r="FI20" s="59" t="n"/>
      <c r="FJ20" s="59" t="n"/>
      <c r="FK20" s="59" t="n"/>
      <c r="FL20" s="59" t="n"/>
      <c r="FM20" s="59" t="n"/>
      <c r="FN20" s="59" t="n"/>
      <c r="FO20" s="59" t="n"/>
      <c r="FP20" s="59" t="n"/>
      <c r="FQ20" s="59" t="n"/>
      <c r="FR20" s="59" t="n"/>
      <c r="FS20" s="59" t="n"/>
      <c r="FT20" s="59" t="n"/>
      <c r="FU20" s="59" t="n"/>
      <c r="FV20" s="59" t="n"/>
      <c r="FW20" s="59" t="n"/>
      <c r="FX20" s="59" t="n"/>
      <c r="FY20" s="59" t="n"/>
      <c r="FZ20" s="59" t="n"/>
      <c r="GA20" s="59" t="n"/>
      <c r="GB20" s="59" t="n"/>
      <c r="GC20" s="59" t="n"/>
      <c r="GD20" s="59" t="n"/>
      <c r="GE20" s="59" t="n"/>
      <c r="GF20" s="59" t="n"/>
      <c r="GG20" s="59" t="n"/>
      <c r="GH20" s="59" t="n"/>
      <c r="GI20" s="59" t="n"/>
      <c r="GJ20" s="59" t="n"/>
      <c r="GK20" s="59" t="n"/>
      <c r="GL20" s="59" t="n"/>
      <c r="GM20" s="59" t="n"/>
      <c r="GN20" s="59" t="n"/>
      <c r="GO20" s="59" t="n"/>
      <c r="GP20" s="59" t="n"/>
      <c r="GQ20" s="59" t="n"/>
      <c r="GR20" s="59" t="n"/>
      <c r="GS20" s="59" t="n"/>
      <c r="GT20" s="59" t="n"/>
      <c r="GU20" s="59" t="n"/>
      <c r="GV20" s="59" t="n"/>
      <c r="GW20" s="59" t="n"/>
      <c r="GX20" s="59" t="n"/>
      <c r="GY20" s="59" t="n"/>
      <c r="GZ20" s="59" t="n"/>
      <c r="HA20" s="59" t="n"/>
      <c r="HB20" s="59" t="n"/>
      <c r="HC20" s="59" t="n"/>
      <c r="HD20" s="59" t="n"/>
      <c r="HE20" s="59" t="n"/>
      <c r="HF20" s="59" t="n"/>
      <c r="HG20" s="59" t="n"/>
      <c r="HH20" s="59" t="n"/>
      <c r="HI20" s="59" t="n"/>
      <c r="HJ20" s="59" t="n"/>
      <c r="HK20" s="59" t="n"/>
      <c r="HL20" s="59" t="n"/>
      <c r="HM20" s="59" t="n"/>
      <c r="HN20" s="59" t="n"/>
      <c r="HO20" s="59" t="n"/>
      <c r="HP20" s="59" t="n"/>
      <c r="HQ20" s="59" t="n"/>
      <c r="HR20" s="59" t="n"/>
      <c r="HS20" s="59" t="n"/>
      <c r="HT20" s="59" t="n"/>
      <c r="HU20" s="59" t="n"/>
      <c r="HV20" s="59" t="n"/>
      <c r="HW20" s="59" t="n"/>
      <c r="HX20" s="59" t="n"/>
      <c r="HY20" s="59" t="n"/>
      <c r="HZ20" s="59" t="n"/>
      <c r="IA20" s="59" t="n"/>
      <c r="IB20" s="59" t="n"/>
      <c r="IC20" s="59" t="n"/>
      <c r="ID20" s="59" t="n"/>
      <c r="IE20" s="59" t="n"/>
      <c r="IF20" s="59" t="n"/>
      <c r="IG20" s="59"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81" t="n"/>
      <c r="L21" s="181" t="n"/>
      <c r="M21" s="181" t="n"/>
      <c r="N21" s="181" t="n"/>
      <c r="O21" s="181" t="n"/>
      <c r="P21" s="181" t="n"/>
      <c r="Q21" s="181" t="n"/>
      <c r="R21" s="181" t="n"/>
      <c r="S21" s="958" t="n"/>
      <c r="T21" s="181" t="n"/>
      <c r="U21" s="181" t="n"/>
      <c r="V21" s="181" t="n"/>
      <c r="W21" s="181" t="n"/>
      <c r="X21" s="181" t="n"/>
      <c r="Y21" s="181" t="n"/>
      <c r="Z21" s="181" t="n"/>
      <c r="AA21" s="181" t="n"/>
      <c r="AB21" s="181"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59" t="n"/>
      <c r="BZ21" s="59" t="n"/>
      <c r="CA21" s="59" t="n"/>
      <c r="CB21" s="59" t="n"/>
      <c r="CC21" s="59" t="n"/>
      <c r="CD21" s="59" t="n"/>
      <c r="CE21" s="59" t="n"/>
      <c r="CF21" s="59" t="n"/>
      <c r="CG21" s="59" t="n"/>
      <c r="CH21" s="59"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c r="DE21" s="59" t="n"/>
      <c r="DF21" s="59" t="n"/>
      <c r="DG21" s="59" t="n"/>
      <c r="DH21" s="59" t="n"/>
      <c r="DI21" s="59" t="n"/>
      <c r="DJ21" s="59" t="n"/>
      <c r="DK21" s="59" t="n"/>
      <c r="DL21" s="59" t="n"/>
      <c r="DM21" s="59" t="n"/>
      <c r="DN21" s="59" t="n"/>
      <c r="DO21" s="59" t="n"/>
      <c r="DP21" s="59" t="n"/>
      <c r="DQ21" s="59" t="n"/>
      <c r="DR21" s="59" t="n"/>
      <c r="DS21" s="59" t="n"/>
      <c r="DT21" s="59" t="n"/>
      <c r="DU21" s="59" t="n"/>
      <c r="DV21" s="59" t="n"/>
      <c r="DW21" s="59" t="n"/>
      <c r="DX21" s="59" t="n"/>
      <c r="DY21" s="59" t="n"/>
      <c r="DZ21" s="59" t="n"/>
      <c r="EA21" s="59" t="n"/>
      <c r="EB21" s="59" t="n"/>
      <c r="EC21" s="59" t="n"/>
      <c r="ED21" s="59" t="n"/>
      <c r="EE21" s="59" t="n"/>
      <c r="EF21" s="59" t="n"/>
      <c r="EG21" s="59" t="n"/>
      <c r="EH21" s="59" t="n"/>
      <c r="EI21" s="59" t="n"/>
      <c r="EJ21" s="59" t="n"/>
      <c r="EK21" s="59" t="n"/>
      <c r="EL21" s="59" t="n"/>
      <c r="EM21" s="59" t="n"/>
      <c r="EN21" s="59" t="n"/>
      <c r="EO21" s="59" t="n"/>
      <c r="EP21" s="59" t="n"/>
      <c r="EQ21" s="59" t="n"/>
      <c r="ER21" s="59" t="n"/>
      <c r="ES21" s="59" t="n"/>
      <c r="ET21" s="59" t="n"/>
      <c r="EU21" s="59" t="n"/>
      <c r="EV21" s="59" t="n"/>
      <c r="EW21" s="59" t="n"/>
      <c r="EX21" s="59" t="n"/>
      <c r="EY21" s="59" t="n"/>
      <c r="EZ21" s="59" t="n"/>
      <c r="FA21" s="59" t="n"/>
      <c r="FB21" s="59" t="n"/>
      <c r="FC21" s="59" t="n"/>
      <c r="FD21" s="59" t="n"/>
      <c r="FE21" s="59" t="n"/>
      <c r="FF21" s="59" t="n"/>
      <c r="FG21" s="59" t="n"/>
      <c r="FH21" s="59" t="n"/>
      <c r="FI21" s="59" t="n"/>
      <c r="FJ21" s="59" t="n"/>
      <c r="FK21" s="59" t="n"/>
      <c r="FL21" s="59" t="n"/>
      <c r="FM21" s="59" t="n"/>
      <c r="FN21" s="59" t="n"/>
      <c r="FO21" s="59" t="n"/>
      <c r="FP21" s="59" t="n"/>
      <c r="FQ21" s="59" t="n"/>
      <c r="FR21" s="59" t="n"/>
      <c r="FS21" s="59" t="n"/>
      <c r="FT21" s="59" t="n"/>
      <c r="FU21" s="59" t="n"/>
      <c r="FV21" s="59" t="n"/>
      <c r="FW21" s="59" t="n"/>
      <c r="FX21" s="59" t="n"/>
      <c r="FY21" s="59" t="n"/>
      <c r="FZ21" s="59" t="n"/>
      <c r="GA21" s="59" t="n"/>
      <c r="GB21" s="59" t="n"/>
      <c r="GC21" s="59" t="n"/>
      <c r="GD21" s="59" t="n"/>
      <c r="GE21" s="59" t="n"/>
      <c r="GF21" s="59" t="n"/>
      <c r="GG21" s="59" t="n"/>
      <c r="GH21" s="59" t="n"/>
      <c r="GI21" s="59" t="n"/>
      <c r="GJ21" s="59" t="n"/>
      <c r="GK21" s="59" t="n"/>
      <c r="GL21" s="59" t="n"/>
      <c r="GM21" s="59" t="n"/>
      <c r="GN21" s="59" t="n"/>
      <c r="GO21" s="59" t="n"/>
      <c r="GP21" s="59" t="n"/>
      <c r="GQ21" s="59" t="n"/>
      <c r="GR21" s="59" t="n"/>
      <c r="GS21" s="59" t="n"/>
      <c r="GT21" s="59" t="n"/>
      <c r="GU21" s="59" t="n"/>
      <c r="GV21" s="59" t="n"/>
      <c r="GW21" s="59" t="n"/>
      <c r="GX21" s="59" t="n"/>
      <c r="GY21" s="59" t="n"/>
      <c r="GZ21" s="59" t="n"/>
      <c r="HA21" s="59" t="n"/>
      <c r="HB21" s="59" t="n"/>
      <c r="HC21" s="59" t="n"/>
      <c r="HD21" s="59" t="n"/>
      <c r="HE21" s="59" t="n"/>
      <c r="HF21" s="59" t="n"/>
      <c r="HG21" s="59" t="n"/>
      <c r="HH21" s="59" t="n"/>
      <c r="HI21" s="59" t="n"/>
      <c r="HJ21" s="59" t="n"/>
      <c r="HK21" s="59" t="n"/>
      <c r="HL21" s="59" t="n"/>
      <c r="HM21" s="59" t="n"/>
      <c r="HN21" s="59" t="n"/>
      <c r="HO21" s="59" t="n"/>
      <c r="HP21" s="59" t="n"/>
      <c r="HQ21" s="59" t="n"/>
      <c r="HR21" s="59" t="n"/>
      <c r="HS21" s="59" t="n"/>
      <c r="HT21" s="59" t="n"/>
      <c r="HU21" s="59" t="n"/>
      <c r="HV21" s="59" t="n"/>
      <c r="HW21" s="59" t="n"/>
      <c r="HX21" s="59" t="n"/>
      <c r="HY21" s="59" t="n"/>
      <c r="HZ21" s="59" t="n"/>
      <c r="IA21" s="59" t="n"/>
      <c r="IB21" s="59" t="n"/>
      <c r="IC21" s="59" t="n"/>
      <c r="ID21" s="59" t="n"/>
      <c r="IE21" s="59" t="n"/>
      <c r="IF21" s="59" t="n"/>
      <c r="IG21" s="59"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81" t="n"/>
      <c r="L22" s="181" t="n"/>
      <c r="M22" s="181" t="n"/>
      <c r="N22" s="181" t="n"/>
      <c r="O22" s="181" t="n"/>
      <c r="P22" s="181" t="n"/>
      <c r="Q22" s="181" t="n"/>
      <c r="R22" s="181" t="n"/>
      <c r="S22" s="958" t="n"/>
      <c r="T22" s="181" t="n"/>
      <c r="U22" s="181" t="n"/>
      <c r="V22" s="181" t="n"/>
      <c r="W22" s="181" t="n"/>
      <c r="X22" s="181" t="n"/>
      <c r="Y22" s="181" t="n"/>
      <c r="Z22" s="181" t="n"/>
      <c r="AA22" s="181" t="n"/>
      <c r="AB22" s="181"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59" t="n"/>
      <c r="BZ22" s="59" t="n"/>
      <c r="CA22" s="59" t="n"/>
      <c r="CB22" s="59" t="n"/>
      <c r="CC22" s="59" t="n"/>
      <c r="CD22" s="59" t="n"/>
      <c r="CE22" s="59" t="n"/>
      <c r="CF22" s="59" t="n"/>
      <c r="CG22" s="59" t="n"/>
      <c r="CH22" s="59" t="n"/>
      <c r="CI22" s="59" t="n"/>
      <c r="CJ22" s="59" t="n"/>
      <c r="CK22" s="59" t="n"/>
      <c r="CL22" s="59" t="n"/>
      <c r="CM22" s="59" t="n"/>
      <c r="CN22" s="59" t="n"/>
      <c r="CO22" s="59" t="n"/>
      <c r="CP22" s="59" t="n"/>
      <c r="CQ22" s="59" t="n"/>
      <c r="CR22" s="59" t="n"/>
      <c r="CS22" s="59" t="n"/>
      <c r="CT22" s="59" t="n"/>
      <c r="CU22" s="59" t="n"/>
      <c r="CV22" s="59" t="n"/>
      <c r="CW22" s="59" t="n"/>
      <c r="CX22" s="59" t="n"/>
      <c r="CY22" s="59" t="n"/>
      <c r="CZ22" s="59" t="n"/>
      <c r="DA22" s="59" t="n"/>
      <c r="DB22" s="59" t="n"/>
      <c r="DC22" s="59" t="n"/>
      <c r="DD22" s="59" t="n"/>
      <c r="DE22" s="59" t="n"/>
      <c r="DF22" s="59" t="n"/>
      <c r="DG22" s="59" t="n"/>
      <c r="DH22" s="59" t="n"/>
      <c r="DI22" s="59" t="n"/>
      <c r="DJ22" s="59" t="n"/>
      <c r="DK22" s="59" t="n"/>
      <c r="DL22" s="59" t="n"/>
      <c r="DM22" s="59" t="n"/>
      <c r="DN22" s="59" t="n"/>
      <c r="DO22" s="59" t="n"/>
      <c r="DP22" s="59" t="n"/>
      <c r="DQ22" s="59" t="n"/>
      <c r="DR22" s="59" t="n"/>
      <c r="DS22" s="59" t="n"/>
      <c r="DT22" s="59" t="n"/>
      <c r="DU22" s="59" t="n"/>
      <c r="DV22" s="59" t="n"/>
      <c r="DW22" s="59" t="n"/>
      <c r="DX22" s="59" t="n"/>
      <c r="DY22" s="59" t="n"/>
      <c r="DZ22" s="59" t="n"/>
      <c r="EA22" s="59" t="n"/>
      <c r="EB22" s="59" t="n"/>
      <c r="EC22" s="59" t="n"/>
      <c r="ED22" s="59" t="n"/>
      <c r="EE22" s="59" t="n"/>
      <c r="EF22" s="59" t="n"/>
      <c r="EG22" s="59" t="n"/>
      <c r="EH22" s="59" t="n"/>
      <c r="EI22" s="59" t="n"/>
      <c r="EJ22" s="59" t="n"/>
      <c r="EK22" s="59" t="n"/>
      <c r="EL22" s="59" t="n"/>
      <c r="EM22" s="59" t="n"/>
      <c r="EN22" s="59" t="n"/>
      <c r="EO22" s="59" t="n"/>
      <c r="EP22" s="59" t="n"/>
      <c r="EQ22" s="59" t="n"/>
      <c r="ER22" s="59" t="n"/>
      <c r="ES22" s="59" t="n"/>
      <c r="ET22" s="59" t="n"/>
      <c r="EU22" s="59" t="n"/>
      <c r="EV22" s="59" t="n"/>
      <c r="EW22" s="59" t="n"/>
      <c r="EX22" s="59" t="n"/>
      <c r="EY22" s="59" t="n"/>
      <c r="EZ22" s="59" t="n"/>
      <c r="FA22" s="59" t="n"/>
      <c r="FB22" s="59" t="n"/>
      <c r="FC22" s="59" t="n"/>
      <c r="FD22" s="59" t="n"/>
      <c r="FE22" s="59" t="n"/>
      <c r="FF22" s="59" t="n"/>
      <c r="FG22" s="59" t="n"/>
      <c r="FH22" s="59" t="n"/>
      <c r="FI22" s="59" t="n"/>
      <c r="FJ22" s="59" t="n"/>
      <c r="FK22" s="59" t="n"/>
      <c r="FL22" s="59" t="n"/>
      <c r="FM22" s="59" t="n"/>
      <c r="FN22" s="59" t="n"/>
      <c r="FO22" s="59" t="n"/>
      <c r="FP22" s="59" t="n"/>
      <c r="FQ22" s="59" t="n"/>
      <c r="FR22" s="59" t="n"/>
      <c r="FS22" s="59" t="n"/>
      <c r="FT22" s="59" t="n"/>
      <c r="FU22" s="59" t="n"/>
      <c r="FV22" s="59" t="n"/>
      <c r="FW22" s="59" t="n"/>
      <c r="FX22" s="59" t="n"/>
      <c r="FY22" s="59" t="n"/>
      <c r="FZ22" s="59" t="n"/>
      <c r="GA22" s="59" t="n"/>
      <c r="GB22" s="59" t="n"/>
      <c r="GC22" s="59" t="n"/>
      <c r="GD22" s="59" t="n"/>
      <c r="GE22" s="59" t="n"/>
      <c r="GF22" s="59" t="n"/>
      <c r="GG22" s="59" t="n"/>
      <c r="GH22" s="59" t="n"/>
      <c r="GI22" s="59" t="n"/>
      <c r="GJ22" s="59" t="n"/>
      <c r="GK22" s="59" t="n"/>
      <c r="GL22" s="59" t="n"/>
      <c r="GM22" s="59" t="n"/>
      <c r="GN22" s="59" t="n"/>
      <c r="GO22" s="59" t="n"/>
      <c r="GP22" s="59" t="n"/>
      <c r="GQ22" s="59" t="n"/>
      <c r="GR22" s="59" t="n"/>
      <c r="GS22" s="59" t="n"/>
      <c r="GT22" s="59" t="n"/>
      <c r="GU22" s="59" t="n"/>
      <c r="GV22" s="59" t="n"/>
      <c r="GW22" s="59" t="n"/>
      <c r="GX22" s="59" t="n"/>
      <c r="GY22" s="59" t="n"/>
      <c r="GZ22" s="59" t="n"/>
      <c r="HA22" s="59" t="n"/>
      <c r="HB22" s="59" t="n"/>
      <c r="HC22" s="59" t="n"/>
      <c r="HD22" s="59" t="n"/>
      <c r="HE22" s="59" t="n"/>
      <c r="HF22" s="59" t="n"/>
      <c r="HG22" s="59" t="n"/>
      <c r="HH22" s="59" t="n"/>
      <c r="HI22" s="59" t="n"/>
      <c r="HJ22" s="59" t="n"/>
      <c r="HK22" s="59" t="n"/>
      <c r="HL22" s="59" t="n"/>
      <c r="HM22" s="59" t="n"/>
      <c r="HN22" s="59" t="n"/>
      <c r="HO22" s="59" t="n"/>
      <c r="HP22" s="59" t="n"/>
      <c r="HQ22" s="59" t="n"/>
      <c r="HR22" s="59" t="n"/>
      <c r="HS22" s="59" t="n"/>
      <c r="HT22" s="59" t="n"/>
      <c r="HU22" s="59" t="n"/>
      <c r="HV22" s="59" t="n"/>
      <c r="HW22" s="59" t="n"/>
      <c r="HX22" s="59" t="n"/>
      <c r="HY22" s="59" t="n"/>
      <c r="HZ22" s="59" t="n"/>
      <c r="IA22" s="59" t="n"/>
      <c r="IB22" s="59" t="n"/>
      <c r="IC22" s="59" t="n"/>
      <c r="ID22" s="59" t="n"/>
      <c r="IE22" s="59" t="n"/>
      <c r="IF22" s="59" t="n"/>
      <c r="IG22" s="59" t="n"/>
    </row>
    <row r="23" ht="16.5" customHeight="1">
      <c r="A23" s="181" t="n"/>
      <c r="B23" s="59" t="n"/>
      <c r="C23" s="59" t="n"/>
      <c r="D23" s="181" t="n"/>
      <c r="E23" s="181" t="n"/>
      <c r="F23" s="208" t="n">
        <v>17</v>
      </c>
      <c r="G23" s="209">
        <f>$C$39</f>
        <v/>
      </c>
      <c r="H23" s="209">
        <f>(J22*$C$16)/12</f>
        <v/>
      </c>
      <c r="I23" s="209" t="n">
        <v>0</v>
      </c>
      <c r="J23" s="209">
        <f>J22-I23</f>
        <v/>
      </c>
      <c r="K23" s="181" t="n"/>
      <c r="L23" s="181" t="n"/>
      <c r="M23" s="181" t="n"/>
      <c r="N23" s="181" t="n"/>
      <c r="O23" s="181" t="n"/>
      <c r="P23" s="181" t="n"/>
      <c r="Q23" s="181" t="n"/>
      <c r="R23" s="181" t="n"/>
      <c r="S23" s="181" t="n"/>
      <c r="T23" s="181" t="n"/>
      <c r="U23" s="181" t="n"/>
      <c r="V23" s="181" t="n"/>
      <c r="W23" s="181" t="n"/>
      <c r="X23" s="181" t="n"/>
      <c r="Y23" s="181" t="n"/>
      <c r="Z23" s="181" t="n"/>
      <c r="AA23" s="181" t="n"/>
      <c r="AB23" s="181"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59" t="n"/>
      <c r="BZ23" s="59" t="n"/>
      <c r="CA23" s="59" t="n"/>
      <c r="CB23" s="59" t="n"/>
      <c r="CC23" s="59" t="n"/>
      <c r="CD23" s="59" t="n"/>
      <c r="CE23" s="59" t="n"/>
      <c r="CF23" s="59" t="n"/>
      <c r="CG23" s="59" t="n"/>
      <c r="CH23" s="59" t="n"/>
      <c r="CI23" s="59" t="n"/>
      <c r="CJ23" s="59" t="n"/>
      <c r="CK23" s="59" t="n"/>
      <c r="CL23" s="59" t="n"/>
      <c r="CM23" s="59" t="n"/>
      <c r="CN23" s="59" t="n"/>
      <c r="CO23" s="59" t="n"/>
      <c r="CP23" s="59" t="n"/>
      <c r="CQ23" s="59" t="n"/>
      <c r="CR23" s="59" t="n"/>
      <c r="CS23" s="59" t="n"/>
      <c r="CT23" s="59" t="n"/>
      <c r="CU23" s="59" t="n"/>
      <c r="CV23" s="59" t="n"/>
      <c r="CW23" s="59" t="n"/>
      <c r="CX23" s="59" t="n"/>
      <c r="CY23" s="59" t="n"/>
      <c r="CZ23" s="59" t="n"/>
      <c r="DA23" s="59" t="n"/>
      <c r="DB23" s="59" t="n"/>
      <c r="DC23" s="59" t="n"/>
      <c r="DD23" s="59" t="n"/>
      <c r="DE23" s="59" t="n"/>
      <c r="DF23" s="59" t="n"/>
      <c r="DG23" s="59" t="n"/>
      <c r="DH23" s="59" t="n"/>
      <c r="DI23" s="59" t="n"/>
      <c r="DJ23" s="59" t="n"/>
      <c r="DK23" s="59" t="n"/>
      <c r="DL23" s="59" t="n"/>
      <c r="DM23" s="59" t="n"/>
      <c r="DN23" s="59" t="n"/>
      <c r="DO23" s="59" t="n"/>
      <c r="DP23" s="59" t="n"/>
      <c r="DQ23" s="59" t="n"/>
      <c r="DR23" s="59" t="n"/>
      <c r="DS23" s="59" t="n"/>
      <c r="DT23" s="59" t="n"/>
      <c r="DU23" s="59" t="n"/>
      <c r="DV23" s="59" t="n"/>
      <c r="DW23" s="59" t="n"/>
      <c r="DX23" s="59" t="n"/>
      <c r="DY23" s="59" t="n"/>
      <c r="DZ23" s="59" t="n"/>
      <c r="EA23" s="59" t="n"/>
      <c r="EB23" s="59" t="n"/>
      <c r="EC23" s="59" t="n"/>
      <c r="ED23" s="59" t="n"/>
      <c r="EE23" s="59" t="n"/>
      <c r="EF23" s="59" t="n"/>
      <c r="EG23" s="59" t="n"/>
      <c r="EH23" s="59" t="n"/>
      <c r="EI23" s="59" t="n"/>
      <c r="EJ23" s="59" t="n"/>
      <c r="EK23" s="59" t="n"/>
      <c r="EL23" s="59" t="n"/>
      <c r="EM23" s="59" t="n"/>
      <c r="EN23" s="59" t="n"/>
      <c r="EO23" s="59" t="n"/>
      <c r="EP23" s="59" t="n"/>
      <c r="EQ23" s="59" t="n"/>
      <c r="ER23" s="59" t="n"/>
      <c r="ES23" s="59" t="n"/>
      <c r="ET23" s="59" t="n"/>
      <c r="EU23" s="59" t="n"/>
      <c r="EV23" s="59" t="n"/>
      <c r="EW23" s="59" t="n"/>
      <c r="EX23" s="59" t="n"/>
      <c r="EY23" s="59" t="n"/>
      <c r="EZ23" s="59" t="n"/>
      <c r="FA23" s="59" t="n"/>
      <c r="FB23" s="59" t="n"/>
      <c r="FC23" s="59" t="n"/>
      <c r="FD23" s="59" t="n"/>
      <c r="FE23" s="59" t="n"/>
      <c r="FF23" s="59" t="n"/>
      <c r="FG23" s="59" t="n"/>
      <c r="FH23" s="59" t="n"/>
      <c r="FI23" s="59" t="n"/>
      <c r="FJ23" s="59" t="n"/>
      <c r="FK23" s="59" t="n"/>
      <c r="FL23" s="59" t="n"/>
      <c r="FM23" s="59" t="n"/>
      <c r="FN23" s="59" t="n"/>
      <c r="FO23" s="59" t="n"/>
      <c r="FP23" s="59" t="n"/>
      <c r="FQ23" s="59" t="n"/>
      <c r="FR23" s="59" t="n"/>
      <c r="FS23" s="59" t="n"/>
      <c r="FT23" s="59" t="n"/>
      <c r="FU23" s="59" t="n"/>
      <c r="FV23" s="59" t="n"/>
      <c r="FW23" s="59" t="n"/>
      <c r="FX23" s="59" t="n"/>
      <c r="FY23" s="59" t="n"/>
      <c r="FZ23" s="59" t="n"/>
      <c r="GA23" s="59" t="n"/>
      <c r="GB23" s="59" t="n"/>
      <c r="GC23" s="59" t="n"/>
      <c r="GD23" s="59" t="n"/>
      <c r="GE23" s="59" t="n"/>
      <c r="GF23" s="59" t="n"/>
      <c r="GG23" s="59" t="n"/>
      <c r="GH23" s="59" t="n"/>
      <c r="GI23" s="59" t="n"/>
      <c r="GJ23" s="59" t="n"/>
      <c r="GK23" s="59" t="n"/>
      <c r="GL23" s="59" t="n"/>
      <c r="GM23" s="59" t="n"/>
      <c r="GN23" s="59" t="n"/>
      <c r="GO23" s="59" t="n"/>
      <c r="GP23" s="59" t="n"/>
      <c r="GQ23" s="59" t="n"/>
      <c r="GR23" s="59" t="n"/>
      <c r="GS23" s="59" t="n"/>
      <c r="GT23" s="59" t="n"/>
      <c r="GU23" s="59" t="n"/>
      <c r="GV23" s="59" t="n"/>
      <c r="GW23" s="59" t="n"/>
      <c r="GX23" s="59" t="n"/>
      <c r="GY23" s="59" t="n"/>
      <c r="GZ23" s="59" t="n"/>
      <c r="HA23" s="59" t="n"/>
      <c r="HB23" s="59" t="n"/>
      <c r="HC23" s="59" t="n"/>
      <c r="HD23" s="59" t="n"/>
      <c r="HE23" s="59" t="n"/>
      <c r="HF23" s="59" t="n"/>
      <c r="HG23" s="59" t="n"/>
      <c r="HH23" s="59" t="n"/>
      <c r="HI23" s="59" t="n"/>
      <c r="HJ23" s="59" t="n"/>
      <c r="HK23" s="59" t="n"/>
      <c r="HL23" s="59" t="n"/>
      <c r="HM23" s="59" t="n"/>
      <c r="HN23" s="59" t="n"/>
      <c r="HO23" s="59" t="n"/>
      <c r="HP23" s="59" t="n"/>
      <c r="HQ23" s="59" t="n"/>
      <c r="HR23" s="59" t="n"/>
      <c r="HS23" s="59" t="n"/>
      <c r="HT23" s="59" t="n"/>
      <c r="HU23" s="59" t="n"/>
      <c r="HV23" s="59" t="n"/>
      <c r="HW23" s="59" t="n"/>
      <c r="HX23" s="59" t="n"/>
      <c r="HY23" s="59" t="n"/>
      <c r="HZ23" s="59" t="n"/>
      <c r="IA23" s="59" t="n"/>
      <c r="IB23" s="59" t="n"/>
      <c r="IC23" s="59" t="n"/>
      <c r="ID23" s="59" t="n"/>
      <c r="IE23" s="59" t="n"/>
      <c r="IF23" s="59" t="n"/>
      <c r="IG23" s="59" t="n"/>
    </row>
    <row r="24" ht="16.5" customHeight="1">
      <c r="A24" s="181" t="n"/>
      <c r="B24" s="144" t="inlineStr">
        <is>
          <t>Max Loan to Value</t>
        </is>
      </c>
      <c r="C24" s="219" t="n">
        <v>0.7</v>
      </c>
      <c r="D24" s="181" t="n"/>
      <c r="E24" s="181" t="n"/>
      <c r="F24" s="208" t="n">
        <v>18</v>
      </c>
      <c r="G24" s="209">
        <f>$C$39</f>
        <v/>
      </c>
      <c r="H24" s="209">
        <f>(J23*$C$16)/12</f>
        <v/>
      </c>
      <c r="I24" s="209" t="n">
        <v>0</v>
      </c>
      <c r="J24" s="209">
        <f>J23-I24</f>
        <v/>
      </c>
      <c r="K24" s="181" t="n"/>
      <c r="L24" s="181" t="n"/>
      <c r="M24" s="181" t="n"/>
      <c r="N24" s="181" t="n"/>
      <c r="O24" s="181" t="n"/>
      <c r="P24" s="181" t="n"/>
      <c r="Q24" s="183" t="n"/>
      <c r="R24" s="183" t="n"/>
      <c r="S24" s="181" t="n"/>
      <c r="T24" s="181" t="n"/>
      <c r="U24" s="181" t="n"/>
      <c r="V24" s="181" t="n"/>
      <c r="W24" s="181" t="n"/>
      <c r="X24" s="181" t="n"/>
      <c r="Y24" s="181" t="n"/>
      <c r="Z24" s="181" t="n"/>
      <c r="AA24" s="181" t="n"/>
      <c r="AB24" s="181"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59" t="n"/>
      <c r="BZ24" s="59" t="n"/>
      <c r="CA24" s="59" t="n"/>
      <c r="CB24" s="59" t="n"/>
      <c r="CC24" s="59" t="n"/>
      <c r="CD24" s="59" t="n"/>
      <c r="CE24" s="59" t="n"/>
      <c r="CF24" s="59" t="n"/>
      <c r="CG24" s="59" t="n"/>
      <c r="CH24" s="59" t="n"/>
      <c r="CI24" s="59" t="n"/>
      <c r="CJ24" s="59" t="n"/>
      <c r="CK24" s="59" t="n"/>
      <c r="CL24" s="59" t="n"/>
      <c r="CM24" s="59" t="n"/>
      <c r="CN24" s="59" t="n"/>
      <c r="CO24" s="59" t="n"/>
      <c r="CP24" s="59" t="n"/>
      <c r="CQ24" s="59" t="n"/>
      <c r="CR24" s="59" t="n"/>
      <c r="CS24" s="59" t="n"/>
      <c r="CT24" s="59" t="n"/>
      <c r="CU24" s="59" t="n"/>
      <c r="CV24" s="59" t="n"/>
      <c r="CW24" s="59" t="n"/>
      <c r="CX24" s="59" t="n"/>
      <c r="CY24" s="59" t="n"/>
      <c r="CZ24" s="59" t="n"/>
      <c r="DA24" s="59" t="n"/>
      <c r="DB24" s="59" t="n"/>
      <c r="DC24" s="59" t="n"/>
      <c r="DD24" s="59" t="n"/>
      <c r="DE24" s="59" t="n"/>
      <c r="DF24" s="59" t="n"/>
      <c r="DG24" s="59" t="n"/>
      <c r="DH24" s="59" t="n"/>
      <c r="DI24" s="59" t="n"/>
      <c r="DJ24" s="59" t="n"/>
      <c r="DK24" s="59" t="n"/>
      <c r="DL24" s="59" t="n"/>
      <c r="DM24" s="59" t="n"/>
      <c r="DN24" s="59" t="n"/>
      <c r="DO24" s="59" t="n"/>
      <c r="DP24" s="59" t="n"/>
      <c r="DQ24" s="59" t="n"/>
      <c r="DR24" s="59" t="n"/>
      <c r="DS24" s="59" t="n"/>
      <c r="DT24" s="59" t="n"/>
      <c r="DU24" s="59" t="n"/>
      <c r="DV24" s="59" t="n"/>
      <c r="DW24" s="59" t="n"/>
      <c r="DX24" s="59" t="n"/>
      <c r="DY24" s="59" t="n"/>
      <c r="DZ24" s="59" t="n"/>
      <c r="EA24" s="59" t="n"/>
      <c r="EB24" s="59" t="n"/>
      <c r="EC24" s="59" t="n"/>
      <c r="ED24" s="59" t="n"/>
      <c r="EE24" s="59" t="n"/>
      <c r="EF24" s="59" t="n"/>
      <c r="EG24" s="59" t="n"/>
      <c r="EH24" s="59" t="n"/>
      <c r="EI24" s="59" t="n"/>
      <c r="EJ24" s="59" t="n"/>
      <c r="EK24" s="59" t="n"/>
      <c r="EL24" s="59" t="n"/>
      <c r="EM24" s="59" t="n"/>
      <c r="EN24" s="59" t="n"/>
      <c r="EO24" s="59" t="n"/>
      <c r="EP24" s="59" t="n"/>
      <c r="EQ24" s="59" t="n"/>
      <c r="ER24" s="59" t="n"/>
      <c r="ES24" s="59" t="n"/>
      <c r="ET24" s="59" t="n"/>
      <c r="EU24" s="59" t="n"/>
      <c r="EV24" s="59" t="n"/>
      <c r="EW24" s="59" t="n"/>
      <c r="EX24" s="59" t="n"/>
      <c r="EY24" s="59" t="n"/>
      <c r="EZ24" s="59" t="n"/>
      <c r="FA24" s="59" t="n"/>
      <c r="FB24" s="59" t="n"/>
      <c r="FC24" s="59" t="n"/>
      <c r="FD24" s="59" t="n"/>
      <c r="FE24" s="59" t="n"/>
      <c r="FF24" s="59" t="n"/>
      <c r="FG24" s="59" t="n"/>
      <c r="FH24" s="59" t="n"/>
      <c r="FI24" s="59" t="n"/>
      <c r="FJ24" s="59" t="n"/>
      <c r="FK24" s="59" t="n"/>
      <c r="FL24" s="59" t="n"/>
      <c r="FM24" s="59" t="n"/>
      <c r="FN24" s="59" t="n"/>
      <c r="FO24" s="59" t="n"/>
      <c r="FP24" s="59" t="n"/>
      <c r="FQ24" s="59" t="n"/>
      <c r="FR24" s="59" t="n"/>
      <c r="FS24" s="59" t="n"/>
      <c r="FT24" s="59" t="n"/>
      <c r="FU24" s="59" t="n"/>
      <c r="FV24" s="59" t="n"/>
      <c r="FW24" s="59" t="n"/>
      <c r="FX24" s="59" t="n"/>
      <c r="FY24" s="59" t="n"/>
      <c r="FZ24" s="59" t="n"/>
      <c r="GA24" s="59" t="n"/>
      <c r="GB24" s="59" t="n"/>
      <c r="GC24" s="59" t="n"/>
      <c r="GD24" s="59" t="n"/>
      <c r="GE24" s="59" t="n"/>
      <c r="GF24" s="59" t="n"/>
      <c r="GG24" s="59" t="n"/>
      <c r="GH24" s="59" t="n"/>
      <c r="GI24" s="59" t="n"/>
      <c r="GJ24" s="59" t="n"/>
      <c r="GK24" s="59" t="n"/>
      <c r="GL24" s="59" t="n"/>
      <c r="GM24" s="59" t="n"/>
      <c r="GN24" s="59" t="n"/>
      <c r="GO24" s="59" t="n"/>
      <c r="GP24" s="59" t="n"/>
      <c r="GQ24" s="59" t="n"/>
      <c r="GR24" s="59" t="n"/>
      <c r="GS24" s="59" t="n"/>
      <c r="GT24" s="59" t="n"/>
      <c r="GU24" s="59" t="n"/>
      <c r="GV24" s="59" t="n"/>
      <c r="GW24" s="59" t="n"/>
      <c r="GX24" s="59" t="n"/>
      <c r="GY24" s="59" t="n"/>
      <c r="GZ24" s="59" t="n"/>
      <c r="HA24" s="59" t="n"/>
      <c r="HB24" s="59" t="n"/>
      <c r="HC24" s="59" t="n"/>
      <c r="HD24" s="59" t="n"/>
      <c r="HE24" s="59" t="n"/>
      <c r="HF24" s="59" t="n"/>
      <c r="HG24" s="59" t="n"/>
      <c r="HH24" s="59" t="n"/>
      <c r="HI24" s="59" t="n"/>
      <c r="HJ24" s="59" t="n"/>
      <c r="HK24" s="59" t="n"/>
      <c r="HL24" s="59" t="n"/>
      <c r="HM24" s="59" t="n"/>
      <c r="HN24" s="59" t="n"/>
      <c r="HO24" s="59" t="n"/>
      <c r="HP24" s="59" t="n"/>
      <c r="HQ24" s="59" t="n"/>
      <c r="HR24" s="59" t="n"/>
      <c r="HS24" s="59" t="n"/>
      <c r="HT24" s="59" t="n"/>
      <c r="HU24" s="59" t="n"/>
      <c r="HV24" s="59" t="n"/>
      <c r="HW24" s="59" t="n"/>
      <c r="HX24" s="59" t="n"/>
      <c r="HY24" s="59" t="n"/>
      <c r="HZ24" s="59" t="n"/>
      <c r="IA24" s="59" t="n"/>
      <c r="IB24" s="59" t="n"/>
      <c r="IC24" s="59" t="n"/>
      <c r="ID24" s="59" t="n"/>
      <c r="IE24" s="59" t="n"/>
      <c r="IF24" s="59" t="n"/>
      <c r="IG24" s="59" t="n"/>
    </row>
    <row r="25" ht="16.5" customHeight="1">
      <c r="A25" s="181" t="n"/>
      <c r="B25" s="144" t="inlineStr">
        <is>
          <t>Min DSCR</t>
        </is>
      </c>
      <c r="C25" s="220" t="n">
        <v>1.25</v>
      </c>
      <c r="D25" s="181" t="n"/>
      <c r="E25" s="181" t="n"/>
      <c r="F25" s="208" t="n">
        <v>19</v>
      </c>
      <c r="G25" s="209">
        <f>$C$39</f>
        <v/>
      </c>
      <c r="H25" s="209">
        <f>(J24*$C$16)/12</f>
        <v/>
      </c>
      <c r="I25" s="209" t="n">
        <v>0</v>
      </c>
      <c r="J25" s="209">
        <f>J24-I25</f>
        <v/>
      </c>
      <c r="K25" s="181" t="n"/>
      <c r="L25" s="181" t="n"/>
      <c r="M25" s="181" t="n"/>
      <c r="N25" s="181" t="n"/>
      <c r="O25" s="181" t="n"/>
      <c r="P25" s="181" t="n"/>
      <c r="Q25" s="181" t="n"/>
      <c r="R25" s="181" t="n"/>
      <c r="S25" s="181" t="n"/>
      <c r="T25" s="181" t="n"/>
      <c r="U25" s="181" t="n"/>
      <c r="V25" s="181" t="n"/>
      <c r="W25" s="181" t="n"/>
      <c r="X25" s="181" t="n"/>
      <c r="Y25" s="181" t="n"/>
      <c r="Z25" s="181" t="n"/>
      <c r="AA25" s="181" t="n"/>
      <c r="AB25" s="181"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59" t="n"/>
      <c r="BZ25" s="59" t="n"/>
      <c r="CA25" s="59" t="n"/>
      <c r="CB25" s="59" t="n"/>
      <c r="CC25" s="59" t="n"/>
      <c r="CD25" s="59" t="n"/>
      <c r="CE25" s="59" t="n"/>
      <c r="CF25" s="59" t="n"/>
      <c r="CG25" s="59" t="n"/>
      <c r="CH25" s="59" t="n"/>
      <c r="CI25" s="59" t="n"/>
      <c r="CJ25" s="59" t="n"/>
      <c r="CK25" s="59" t="n"/>
      <c r="CL25" s="59" t="n"/>
      <c r="CM25" s="59" t="n"/>
      <c r="CN25" s="59" t="n"/>
      <c r="CO25" s="59" t="n"/>
      <c r="CP25" s="59" t="n"/>
      <c r="CQ25" s="59" t="n"/>
      <c r="CR25" s="59" t="n"/>
      <c r="CS25" s="59" t="n"/>
      <c r="CT25" s="59" t="n"/>
      <c r="CU25" s="59" t="n"/>
      <c r="CV25" s="59" t="n"/>
      <c r="CW25" s="59" t="n"/>
      <c r="CX25" s="59" t="n"/>
      <c r="CY25" s="59" t="n"/>
      <c r="CZ25" s="59" t="n"/>
      <c r="DA25" s="59" t="n"/>
      <c r="DB25" s="59" t="n"/>
      <c r="DC25" s="59" t="n"/>
      <c r="DD25" s="59" t="n"/>
      <c r="DE25" s="59" t="n"/>
      <c r="DF25" s="59" t="n"/>
      <c r="DG25" s="59" t="n"/>
      <c r="DH25" s="59" t="n"/>
      <c r="DI25" s="59" t="n"/>
      <c r="DJ25" s="59" t="n"/>
      <c r="DK25" s="59" t="n"/>
      <c r="DL25" s="59" t="n"/>
      <c r="DM25" s="59" t="n"/>
      <c r="DN25" s="59" t="n"/>
      <c r="DO25" s="59" t="n"/>
      <c r="DP25" s="59" t="n"/>
      <c r="DQ25" s="59" t="n"/>
      <c r="DR25" s="59" t="n"/>
      <c r="DS25" s="59" t="n"/>
      <c r="DT25" s="59" t="n"/>
      <c r="DU25" s="59" t="n"/>
      <c r="DV25" s="59" t="n"/>
      <c r="DW25" s="59" t="n"/>
      <c r="DX25" s="59" t="n"/>
      <c r="DY25" s="59" t="n"/>
      <c r="DZ25" s="59" t="n"/>
      <c r="EA25" s="59" t="n"/>
      <c r="EB25" s="59" t="n"/>
      <c r="EC25" s="59" t="n"/>
      <c r="ED25" s="59" t="n"/>
      <c r="EE25" s="59" t="n"/>
      <c r="EF25" s="59" t="n"/>
      <c r="EG25" s="59" t="n"/>
      <c r="EH25" s="59" t="n"/>
      <c r="EI25" s="59" t="n"/>
      <c r="EJ25" s="59" t="n"/>
      <c r="EK25" s="59" t="n"/>
      <c r="EL25" s="59" t="n"/>
      <c r="EM25" s="59" t="n"/>
      <c r="EN25" s="59" t="n"/>
      <c r="EO25" s="59" t="n"/>
      <c r="EP25" s="59" t="n"/>
      <c r="EQ25" s="59" t="n"/>
      <c r="ER25" s="59" t="n"/>
      <c r="ES25" s="59" t="n"/>
      <c r="ET25" s="59" t="n"/>
      <c r="EU25" s="59" t="n"/>
      <c r="EV25" s="59" t="n"/>
      <c r="EW25" s="59" t="n"/>
      <c r="EX25" s="59" t="n"/>
      <c r="EY25" s="59" t="n"/>
      <c r="EZ25" s="59" t="n"/>
      <c r="FA25" s="59" t="n"/>
      <c r="FB25" s="59" t="n"/>
      <c r="FC25" s="59" t="n"/>
      <c r="FD25" s="59" t="n"/>
      <c r="FE25" s="59" t="n"/>
      <c r="FF25" s="59" t="n"/>
      <c r="FG25" s="59" t="n"/>
      <c r="FH25" s="59" t="n"/>
      <c r="FI25" s="59" t="n"/>
      <c r="FJ25" s="59" t="n"/>
      <c r="FK25" s="59" t="n"/>
      <c r="FL25" s="59" t="n"/>
      <c r="FM25" s="59" t="n"/>
      <c r="FN25" s="59" t="n"/>
      <c r="FO25" s="59" t="n"/>
      <c r="FP25" s="59" t="n"/>
      <c r="FQ25" s="59" t="n"/>
      <c r="FR25" s="59" t="n"/>
      <c r="FS25" s="59" t="n"/>
      <c r="FT25" s="59" t="n"/>
      <c r="FU25" s="59" t="n"/>
      <c r="FV25" s="59" t="n"/>
      <c r="FW25" s="59" t="n"/>
      <c r="FX25" s="59" t="n"/>
      <c r="FY25" s="59" t="n"/>
      <c r="FZ25" s="59" t="n"/>
      <c r="GA25" s="59" t="n"/>
      <c r="GB25" s="59" t="n"/>
      <c r="GC25" s="59" t="n"/>
      <c r="GD25" s="59" t="n"/>
      <c r="GE25" s="59" t="n"/>
      <c r="GF25" s="59" t="n"/>
      <c r="GG25" s="59" t="n"/>
      <c r="GH25" s="59" t="n"/>
      <c r="GI25" s="59" t="n"/>
      <c r="GJ25" s="59" t="n"/>
      <c r="GK25" s="59" t="n"/>
      <c r="GL25" s="59" t="n"/>
      <c r="GM25" s="59" t="n"/>
      <c r="GN25" s="59" t="n"/>
      <c r="GO25" s="59" t="n"/>
      <c r="GP25" s="59" t="n"/>
      <c r="GQ25" s="59" t="n"/>
      <c r="GR25" s="59" t="n"/>
      <c r="GS25" s="59" t="n"/>
      <c r="GT25" s="59" t="n"/>
      <c r="GU25" s="59" t="n"/>
      <c r="GV25" s="59" t="n"/>
      <c r="GW25" s="59" t="n"/>
      <c r="GX25" s="59" t="n"/>
      <c r="GY25" s="59" t="n"/>
      <c r="GZ25" s="59" t="n"/>
      <c r="HA25" s="59" t="n"/>
      <c r="HB25" s="59" t="n"/>
      <c r="HC25" s="59" t="n"/>
      <c r="HD25" s="59" t="n"/>
      <c r="HE25" s="59" t="n"/>
      <c r="HF25" s="59" t="n"/>
      <c r="HG25" s="59" t="n"/>
      <c r="HH25" s="59" t="n"/>
      <c r="HI25" s="59" t="n"/>
      <c r="HJ25" s="59" t="n"/>
      <c r="HK25" s="59" t="n"/>
      <c r="HL25" s="59" t="n"/>
      <c r="HM25" s="59" t="n"/>
      <c r="HN25" s="59" t="n"/>
      <c r="HO25" s="59" t="n"/>
      <c r="HP25" s="59" t="n"/>
      <c r="HQ25" s="59" t="n"/>
      <c r="HR25" s="59" t="n"/>
      <c r="HS25" s="59" t="n"/>
      <c r="HT25" s="59" t="n"/>
      <c r="HU25" s="59" t="n"/>
      <c r="HV25" s="59" t="n"/>
      <c r="HW25" s="59" t="n"/>
      <c r="HX25" s="59" t="n"/>
      <c r="HY25" s="59" t="n"/>
      <c r="HZ25" s="59" t="n"/>
      <c r="IA25" s="59" t="n"/>
      <c r="IB25" s="59" t="n"/>
      <c r="IC25" s="59" t="n"/>
      <c r="ID25" s="59" t="n"/>
      <c r="IE25" s="59" t="n"/>
      <c r="IF25" s="59" t="n"/>
      <c r="IG25" s="59" t="n"/>
    </row>
    <row r="26" ht="16.5" customHeight="1">
      <c r="A26" s="181" t="n"/>
      <c r="B26" s="59" t="n"/>
      <c r="C26" s="59" t="n"/>
      <c r="D26" s="181" t="n"/>
      <c r="E26" s="181" t="n"/>
      <c r="F26" s="208" t="n">
        <v>20</v>
      </c>
      <c r="G26" s="209">
        <f>$C$39</f>
        <v/>
      </c>
      <c r="H26" s="209">
        <f>(J25*$C$16)/12</f>
        <v/>
      </c>
      <c r="I26" s="209" t="n">
        <v>0</v>
      </c>
      <c r="J26" s="209">
        <f>J25-I26</f>
        <v/>
      </c>
      <c r="K26" s="181" t="n"/>
      <c r="L26" s="181" t="n"/>
      <c r="M26" s="181" t="n"/>
      <c r="N26" s="181" t="n"/>
      <c r="O26" s="181" t="n"/>
      <c r="P26" s="181" t="n"/>
      <c r="Q26" s="181" t="n"/>
      <c r="R26" s="181" t="n"/>
      <c r="S26" s="958" t="n"/>
      <c r="T26" s="181" t="n"/>
      <c r="U26" s="181" t="n"/>
      <c r="V26" s="181" t="n"/>
      <c r="W26" s="181" t="n"/>
      <c r="X26" s="181" t="n"/>
      <c r="Y26" s="181" t="n"/>
      <c r="Z26" s="181" t="n"/>
      <c r="AA26" s="181" t="n"/>
      <c r="AB26" s="181"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59" t="n"/>
      <c r="BZ26" s="59" t="n"/>
      <c r="CA26" s="59" t="n"/>
      <c r="CB26" s="59" t="n"/>
      <c r="CC26" s="59" t="n"/>
      <c r="CD26" s="59" t="n"/>
      <c r="CE26" s="59" t="n"/>
      <c r="CF26" s="59" t="n"/>
      <c r="CG26" s="59" t="n"/>
      <c r="CH26" s="59"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c r="DE26" s="59" t="n"/>
      <c r="DF26" s="59" t="n"/>
      <c r="DG26" s="59" t="n"/>
      <c r="DH26" s="59" t="n"/>
      <c r="DI26" s="59" t="n"/>
      <c r="DJ26" s="59" t="n"/>
      <c r="DK26" s="59" t="n"/>
      <c r="DL26" s="59" t="n"/>
      <c r="DM26" s="59" t="n"/>
      <c r="DN26" s="59" t="n"/>
      <c r="DO26" s="59" t="n"/>
      <c r="DP26" s="59" t="n"/>
      <c r="DQ26" s="59" t="n"/>
      <c r="DR26" s="59" t="n"/>
      <c r="DS26" s="59" t="n"/>
      <c r="DT26" s="59" t="n"/>
      <c r="DU26" s="59" t="n"/>
      <c r="DV26" s="59" t="n"/>
      <c r="DW26" s="59" t="n"/>
      <c r="DX26" s="59" t="n"/>
      <c r="DY26" s="59" t="n"/>
      <c r="DZ26" s="59" t="n"/>
      <c r="EA26" s="59" t="n"/>
      <c r="EB26" s="59" t="n"/>
      <c r="EC26" s="59" t="n"/>
      <c r="ED26" s="59" t="n"/>
      <c r="EE26" s="59" t="n"/>
      <c r="EF26" s="59" t="n"/>
      <c r="EG26" s="59" t="n"/>
      <c r="EH26" s="59" t="n"/>
      <c r="EI26" s="59" t="n"/>
      <c r="EJ26" s="59" t="n"/>
      <c r="EK26" s="59" t="n"/>
      <c r="EL26" s="59" t="n"/>
      <c r="EM26" s="59" t="n"/>
      <c r="EN26" s="59" t="n"/>
      <c r="EO26" s="59" t="n"/>
      <c r="EP26" s="59" t="n"/>
      <c r="EQ26" s="59" t="n"/>
      <c r="ER26" s="59" t="n"/>
      <c r="ES26" s="59" t="n"/>
      <c r="ET26" s="59" t="n"/>
      <c r="EU26" s="59" t="n"/>
      <c r="EV26" s="59" t="n"/>
      <c r="EW26" s="59" t="n"/>
      <c r="EX26" s="59" t="n"/>
      <c r="EY26" s="59" t="n"/>
      <c r="EZ26" s="59" t="n"/>
      <c r="FA26" s="59" t="n"/>
      <c r="FB26" s="59" t="n"/>
      <c r="FC26" s="59" t="n"/>
      <c r="FD26" s="59" t="n"/>
      <c r="FE26" s="59" t="n"/>
      <c r="FF26" s="59" t="n"/>
      <c r="FG26" s="59" t="n"/>
      <c r="FH26" s="59" t="n"/>
      <c r="FI26" s="59" t="n"/>
      <c r="FJ26" s="59" t="n"/>
      <c r="FK26" s="59" t="n"/>
      <c r="FL26" s="59" t="n"/>
      <c r="FM26" s="59" t="n"/>
      <c r="FN26" s="59" t="n"/>
      <c r="FO26" s="59" t="n"/>
      <c r="FP26" s="59" t="n"/>
      <c r="FQ26" s="59" t="n"/>
      <c r="FR26" s="59" t="n"/>
      <c r="FS26" s="59" t="n"/>
      <c r="FT26" s="59" t="n"/>
      <c r="FU26" s="59" t="n"/>
      <c r="FV26" s="59" t="n"/>
      <c r="FW26" s="59" t="n"/>
      <c r="FX26" s="59" t="n"/>
      <c r="FY26" s="59" t="n"/>
      <c r="FZ26" s="59" t="n"/>
      <c r="GA26" s="59" t="n"/>
      <c r="GB26" s="59" t="n"/>
      <c r="GC26" s="59" t="n"/>
      <c r="GD26" s="59" t="n"/>
      <c r="GE26" s="59" t="n"/>
      <c r="GF26" s="59" t="n"/>
      <c r="GG26" s="59" t="n"/>
      <c r="GH26" s="59" t="n"/>
      <c r="GI26" s="59" t="n"/>
      <c r="GJ26" s="59" t="n"/>
      <c r="GK26" s="59" t="n"/>
      <c r="GL26" s="59" t="n"/>
      <c r="GM26" s="59" t="n"/>
      <c r="GN26" s="59" t="n"/>
      <c r="GO26" s="59" t="n"/>
      <c r="GP26" s="59" t="n"/>
      <c r="GQ26" s="59" t="n"/>
      <c r="GR26" s="59" t="n"/>
      <c r="GS26" s="59" t="n"/>
      <c r="GT26" s="59" t="n"/>
      <c r="GU26" s="59" t="n"/>
      <c r="GV26" s="59" t="n"/>
      <c r="GW26" s="59" t="n"/>
      <c r="GX26" s="59" t="n"/>
      <c r="GY26" s="59" t="n"/>
      <c r="GZ26" s="59" t="n"/>
      <c r="HA26" s="59" t="n"/>
      <c r="HB26" s="59" t="n"/>
      <c r="HC26" s="59" t="n"/>
      <c r="HD26" s="59" t="n"/>
      <c r="HE26" s="59" t="n"/>
      <c r="HF26" s="59" t="n"/>
      <c r="HG26" s="59" t="n"/>
      <c r="HH26" s="59" t="n"/>
      <c r="HI26" s="59" t="n"/>
      <c r="HJ26" s="59" t="n"/>
      <c r="HK26" s="59" t="n"/>
      <c r="HL26" s="59" t="n"/>
      <c r="HM26" s="59" t="n"/>
      <c r="HN26" s="59" t="n"/>
      <c r="HO26" s="59" t="n"/>
      <c r="HP26" s="59" t="n"/>
      <c r="HQ26" s="59" t="n"/>
      <c r="HR26" s="59" t="n"/>
      <c r="HS26" s="59" t="n"/>
      <c r="HT26" s="59" t="n"/>
      <c r="HU26" s="59" t="n"/>
      <c r="HV26" s="59" t="n"/>
      <c r="HW26" s="59" t="n"/>
      <c r="HX26" s="59" t="n"/>
      <c r="HY26" s="59" t="n"/>
      <c r="HZ26" s="59" t="n"/>
      <c r="IA26" s="59" t="n"/>
      <c r="IB26" s="59" t="n"/>
      <c r="IC26" s="59" t="n"/>
      <c r="ID26" s="59" t="n"/>
      <c r="IE26" s="59" t="n"/>
      <c r="IF26" s="59" t="n"/>
      <c r="IG26" s="59" t="n"/>
    </row>
    <row r="27" ht="16.5" customHeight="1">
      <c r="A27" s="186" t="inlineStr">
        <is>
          <t>Lot Rents</t>
        </is>
      </c>
      <c r="B27" s="186" t="inlineStr">
        <is>
          <t>Net Operating Income</t>
        </is>
      </c>
      <c r="C27" s="269">
        <f>'GGC Underwriting'!I47</f>
        <v/>
      </c>
      <c r="D27" s="181" t="n"/>
      <c r="E27" s="181" t="n"/>
      <c r="F27" s="208" t="n">
        <v>21</v>
      </c>
      <c r="G27" s="209">
        <f>$C$39</f>
        <v/>
      </c>
      <c r="H27" s="209">
        <f>(J26*$C$16)/12</f>
        <v/>
      </c>
      <c r="I27" s="209" t="n">
        <v>0</v>
      </c>
      <c r="J27" s="209">
        <f>J26-I27</f>
        <v/>
      </c>
      <c r="K27" s="181" t="n"/>
      <c r="L27" s="181" t="n"/>
      <c r="M27" s="958" t="n"/>
      <c r="N27" s="181" t="n"/>
      <c r="O27" s="181" t="n"/>
      <c r="P27" s="181" t="n"/>
      <c r="Q27" s="181" t="n"/>
      <c r="R27" s="181" t="n"/>
      <c r="S27" s="181" t="n"/>
      <c r="T27" s="181" t="n"/>
      <c r="U27" s="181" t="n"/>
      <c r="V27" s="181" t="n"/>
      <c r="W27" s="181" t="n"/>
      <c r="X27" s="181" t="n"/>
      <c r="Y27" s="181" t="n"/>
      <c r="Z27" s="181" t="n"/>
      <c r="AA27" s="181" t="n"/>
      <c r="AB27" s="181"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59" t="n"/>
      <c r="CH27" s="59" t="n"/>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59" t="n"/>
      <c r="FI27" s="59" t="n"/>
      <c r="FJ27" s="59" t="n"/>
      <c r="FK27" s="59" t="n"/>
      <c r="FL27" s="59" t="n"/>
      <c r="FM27" s="59" t="n"/>
      <c r="FN27" s="59" t="n"/>
      <c r="FO27" s="59" t="n"/>
      <c r="FP27" s="59" t="n"/>
      <c r="FQ27" s="59" t="n"/>
      <c r="FR27" s="59" t="n"/>
      <c r="FS27" s="59" t="n"/>
      <c r="FT27" s="59" t="n"/>
      <c r="FU27" s="59" t="n"/>
      <c r="FV27" s="59" t="n"/>
      <c r="FW27" s="59" t="n"/>
      <c r="FX27" s="59" t="n"/>
      <c r="FY27" s="59" t="n"/>
      <c r="FZ27" s="59" t="n"/>
      <c r="GA27" s="59" t="n"/>
      <c r="GB27" s="59" t="n"/>
      <c r="GC27" s="59" t="n"/>
      <c r="GD27" s="59" t="n"/>
      <c r="GE27" s="59" t="n"/>
      <c r="GF27" s="59" t="n"/>
      <c r="GG27" s="59" t="n"/>
      <c r="GH27" s="59" t="n"/>
      <c r="GI27" s="59" t="n"/>
      <c r="GJ27" s="59" t="n"/>
      <c r="GK27" s="59" t="n"/>
      <c r="GL27" s="59" t="n"/>
      <c r="GM27" s="59" t="n"/>
      <c r="GN27" s="59" t="n"/>
      <c r="GO27" s="59" t="n"/>
      <c r="GP27" s="59" t="n"/>
      <c r="GQ27" s="59" t="n"/>
      <c r="GR27" s="59" t="n"/>
      <c r="GS27" s="59" t="n"/>
      <c r="GT27" s="59" t="n"/>
      <c r="GU27" s="59" t="n"/>
      <c r="GV27" s="59" t="n"/>
      <c r="GW27" s="59" t="n"/>
      <c r="GX27" s="59" t="n"/>
      <c r="GY27" s="59" t="n"/>
      <c r="GZ27" s="59" t="n"/>
      <c r="HA27" s="59" t="n"/>
      <c r="HB27" s="59" t="n"/>
      <c r="HC27" s="59" t="n"/>
      <c r="HD27" s="59" t="n"/>
      <c r="HE27" s="59" t="n"/>
      <c r="HF27" s="59" t="n"/>
      <c r="HG27" s="59" t="n"/>
      <c r="HH27" s="59" t="n"/>
      <c r="HI27" s="59" t="n"/>
      <c r="HJ27" s="59" t="n"/>
      <c r="HK27" s="59" t="n"/>
      <c r="HL27" s="59" t="n"/>
      <c r="HM27" s="59" t="n"/>
      <c r="HN27" s="59" t="n"/>
      <c r="HO27" s="59" t="n"/>
      <c r="HP27" s="59" t="n"/>
      <c r="HQ27" s="59" t="n"/>
      <c r="HR27" s="59" t="n"/>
      <c r="HS27" s="59" t="n"/>
      <c r="HT27" s="59" t="n"/>
      <c r="HU27" s="59" t="n"/>
      <c r="HV27" s="59" t="n"/>
      <c r="HW27" s="59" t="n"/>
      <c r="HX27" s="59" t="n"/>
      <c r="HY27" s="59" t="n"/>
      <c r="HZ27" s="59" t="n"/>
      <c r="IA27" s="59" t="n"/>
      <c r="IB27" s="59" t="n"/>
      <c r="IC27" s="59" t="n"/>
      <c r="ID27" s="59" t="n"/>
      <c r="IE27" s="59" t="n"/>
      <c r="IF27" s="59" t="n"/>
      <c r="IG27" s="59" t="n"/>
    </row>
    <row r="28" ht="16.5" customHeight="1">
      <c r="A28" s="181" t="n"/>
      <c r="B28" s="181" t="n"/>
      <c r="C28" s="181" t="n"/>
      <c r="D28" s="181" t="n"/>
      <c r="E28" s="181" t="n"/>
      <c r="F28" s="208" t="n">
        <v>22</v>
      </c>
      <c r="G28" s="209">
        <f>$C$39</f>
        <v/>
      </c>
      <c r="H28" s="209">
        <f>(J27*$C$16)/12</f>
        <v/>
      </c>
      <c r="I28" s="209" t="n">
        <v>0</v>
      </c>
      <c r="J28" s="209">
        <f>J27-I28</f>
        <v/>
      </c>
      <c r="K28" s="181" t="n"/>
      <c r="L28" s="181" t="n"/>
      <c r="M28" s="958" t="n"/>
      <c r="N28" s="181" t="n"/>
      <c r="O28" s="199" t="n"/>
      <c r="P28" s="181" t="n"/>
      <c r="Q28" s="181" t="n"/>
      <c r="R28" s="181" t="n"/>
      <c r="S28" s="181" t="n"/>
      <c r="T28" s="181" t="n"/>
      <c r="U28" s="181" t="n"/>
      <c r="V28" s="181" t="n"/>
      <c r="W28" s="181" t="n"/>
      <c r="X28" s="181" t="n"/>
      <c r="Y28" s="181" t="n"/>
      <c r="Z28" s="181" t="n"/>
      <c r="AA28" s="181" t="n"/>
      <c r="AB28" s="181"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59" t="n"/>
      <c r="BZ28" s="59" t="n"/>
      <c r="CA28" s="59" t="n"/>
      <c r="CB28" s="59" t="n"/>
      <c r="CC28" s="59" t="n"/>
      <c r="CD28" s="59" t="n"/>
      <c r="CE28" s="59" t="n"/>
      <c r="CF28" s="59" t="n"/>
      <c r="CG28" s="59" t="n"/>
      <c r="CH28" s="59" t="n"/>
      <c r="CI28" s="59" t="n"/>
      <c r="CJ28" s="59" t="n"/>
      <c r="CK28" s="59" t="n"/>
      <c r="CL28" s="59" t="n"/>
      <c r="CM28" s="59" t="n"/>
      <c r="CN28" s="59" t="n"/>
      <c r="CO28" s="59" t="n"/>
      <c r="CP28" s="59" t="n"/>
      <c r="CQ28" s="59" t="n"/>
      <c r="CR28" s="59" t="n"/>
      <c r="CS28" s="59" t="n"/>
      <c r="CT28" s="59" t="n"/>
      <c r="CU28" s="59" t="n"/>
      <c r="CV28" s="59" t="n"/>
      <c r="CW28" s="59" t="n"/>
      <c r="CX28" s="59" t="n"/>
      <c r="CY28" s="59" t="n"/>
      <c r="CZ28" s="59" t="n"/>
      <c r="DA28" s="59" t="n"/>
      <c r="DB28" s="59" t="n"/>
      <c r="DC28" s="59" t="n"/>
      <c r="DD28" s="59" t="n"/>
      <c r="DE28" s="59" t="n"/>
      <c r="DF28" s="59" t="n"/>
      <c r="DG28" s="59" t="n"/>
      <c r="DH28" s="59" t="n"/>
      <c r="DI28" s="59" t="n"/>
      <c r="DJ28" s="59" t="n"/>
      <c r="DK28" s="59" t="n"/>
      <c r="DL28" s="59" t="n"/>
      <c r="DM28" s="59" t="n"/>
      <c r="DN28" s="59" t="n"/>
      <c r="DO28" s="59" t="n"/>
      <c r="DP28" s="59" t="n"/>
      <c r="DQ28" s="59" t="n"/>
      <c r="DR28" s="59" t="n"/>
      <c r="DS28" s="59" t="n"/>
      <c r="DT28" s="59" t="n"/>
      <c r="DU28" s="59" t="n"/>
      <c r="DV28" s="59" t="n"/>
      <c r="DW28" s="59" t="n"/>
      <c r="DX28" s="59" t="n"/>
      <c r="DY28" s="59" t="n"/>
      <c r="DZ28" s="59" t="n"/>
      <c r="EA28" s="59" t="n"/>
      <c r="EB28" s="59" t="n"/>
      <c r="EC28" s="59" t="n"/>
      <c r="ED28" s="59" t="n"/>
      <c r="EE28" s="59" t="n"/>
      <c r="EF28" s="59" t="n"/>
      <c r="EG28" s="59" t="n"/>
      <c r="EH28" s="59" t="n"/>
      <c r="EI28" s="59" t="n"/>
      <c r="EJ28" s="59" t="n"/>
      <c r="EK28" s="59" t="n"/>
      <c r="EL28" s="59" t="n"/>
      <c r="EM28" s="59" t="n"/>
      <c r="EN28" s="59" t="n"/>
      <c r="EO28" s="59" t="n"/>
      <c r="EP28" s="59" t="n"/>
      <c r="EQ28" s="59" t="n"/>
      <c r="ER28" s="59" t="n"/>
      <c r="ES28" s="59" t="n"/>
      <c r="ET28" s="59" t="n"/>
      <c r="EU28" s="59" t="n"/>
      <c r="EV28" s="59" t="n"/>
      <c r="EW28" s="59" t="n"/>
      <c r="EX28" s="59" t="n"/>
      <c r="EY28" s="59" t="n"/>
      <c r="EZ28" s="59" t="n"/>
      <c r="FA28" s="59" t="n"/>
      <c r="FB28" s="59" t="n"/>
      <c r="FC28" s="59" t="n"/>
      <c r="FD28" s="59" t="n"/>
      <c r="FE28" s="59" t="n"/>
      <c r="FF28" s="59" t="n"/>
      <c r="FG28" s="59" t="n"/>
      <c r="FH28" s="59" t="n"/>
      <c r="FI28" s="59" t="n"/>
      <c r="FJ28" s="59" t="n"/>
      <c r="FK28" s="59" t="n"/>
      <c r="FL28" s="59" t="n"/>
      <c r="FM28" s="59" t="n"/>
      <c r="FN28" s="59" t="n"/>
      <c r="FO28" s="59" t="n"/>
      <c r="FP28" s="59" t="n"/>
      <c r="FQ28" s="59" t="n"/>
      <c r="FR28" s="59" t="n"/>
      <c r="FS28" s="59" t="n"/>
      <c r="FT28" s="59" t="n"/>
      <c r="FU28" s="59" t="n"/>
      <c r="FV28" s="59" t="n"/>
      <c r="FW28" s="59" t="n"/>
      <c r="FX28" s="59" t="n"/>
      <c r="FY28" s="59" t="n"/>
      <c r="FZ28" s="59" t="n"/>
      <c r="GA28" s="59" t="n"/>
      <c r="GB28" s="59" t="n"/>
      <c r="GC28" s="59" t="n"/>
      <c r="GD28" s="59" t="n"/>
      <c r="GE28" s="59" t="n"/>
      <c r="GF28" s="59" t="n"/>
      <c r="GG28" s="59" t="n"/>
      <c r="GH28" s="59" t="n"/>
      <c r="GI28" s="59" t="n"/>
      <c r="GJ28" s="59" t="n"/>
      <c r="GK28" s="59" t="n"/>
      <c r="GL28" s="59" t="n"/>
      <c r="GM28" s="59" t="n"/>
      <c r="GN28" s="59" t="n"/>
      <c r="GO28" s="59" t="n"/>
      <c r="GP28" s="59" t="n"/>
      <c r="GQ28" s="59" t="n"/>
      <c r="GR28" s="59" t="n"/>
      <c r="GS28" s="59" t="n"/>
      <c r="GT28" s="59" t="n"/>
      <c r="GU28" s="59" t="n"/>
      <c r="GV28" s="59" t="n"/>
      <c r="GW28" s="59" t="n"/>
      <c r="GX28" s="59" t="n"/>
      <c r="GY28" s="59" t="n"/>
      <c r="GZ28" s="59" t="n"/>
      <c r="HA28" s="59" t="n"/>
      <c r="HB28" s="59" t="n"/>
      <c r="HC28" s="59" t="n"/>
      <c r="HD28" s="59" t="n"/>
      <c r="HE28" s="59" t="n"/>
      <c r="HF28" s="59" t="n"/>
      <c r="HG28" s="59" t="n"/>
      <c r="HH28" s="59" t="n"/>
      <c r="HI28" s="59" t="n"/>
      <c r="HJ28" s="59" t="n"/>
      <c r="HK28" s="59" t="n"/>
      <c r="HL28" s="59" t="n"/>
      <c r="HM28" s="59" t="n"/>
      <c r="HN28" s="59" t="n"/>
      <c r="HO28" s="59" t="n"/>
      <c r="HP28" s="59" t="n"/>
      <c r="HQ28" s="59" t="n"/>
      <c r="HR28" s="59" t="n"/>
      <c r="HS28" s="59" t="n"/>
      <c r="HT28" s="59" t="n"/>
      <c r="HU28" s="59" t="n"/>
      <c r="HV28" s="59" t="n"/>
      <c r="HW28" s="59" t="n"/>
      <c r="HX28" s="59" t="n"/>
      <c r="HY28" s="59" t="n"/>
      <c r="HZ28" s="59" t="n"/>
      <c r="IA28" s="59" t="n"/>
      <c r="IB28" s="59" t="n"/>
      <c r="IC28" s="59" t="n"/>
      <c r="ID28" s="59" t="n"/>
      <c r="IE28" s="59" t="n"/>
      <c r="IF28" s="59" t="n"/>
      <c r="IG28" s="59"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81" t="n"/>
      <c r="L29" s="181" t="n"/>
      <c r="M29" s="181" t="n"/>
      <c r="N29" s="181" t="n"/>
      <c r="O29" s="199" t="n"/>
      <c r="P29" s="181" t="n"/>
      <c r="Q29" s="181" t="n"/>
      <c r="R29" s="181" t="n"/>
      <c r="S29" s="181" t="n"/>
      <c r="T29" s="181" t="n"/>
      <c r="U29" s="181" t="n"/>
      <c r="V29" s="181" t="n"/>
      <c r="W29" s="181" t="n"/>
      <c r="X29" s="181" t="n"/>
      <c r="Y29" s="181" t="n"/>
      <c r="Z29" s="181" t="n"/>
      <c r="AA29" s="181" t="n"/>
      <c r="AB29" s="181"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59" t="n"/>
      <c r="FI29" s="59" t="n"/>
      <c r="FJ29" s="59" t="n"/>
      <c r="FK29" s="59" t="n"/>
      <c r="FL29" s="59" t="n"/>
      <c r="FM29" s="59" t="n"/>
      <c r="FN29" s="59" t="n"/>
      <c r="FO29" s="59" t="n"/>
      <c r="FP29" s="59" t="n"/>
      <c r="FQ29" s="59" t="n"/>
      <c r="FR29" s="59" t="n"/>
      <c r="FS29" s="59" t="n"/>
      <c r="FT29" s="59" t="n"/>
      <c r="FU29" s="59" t="n"/>
      <c r="FV29" s="59" t="n"/>
      <c r="FW29" s="59" t="n"/>
      <c r="FX29" s="59" t="n"/>
      <c r="FY29" s="59" t="n"/>
      <c r="FZ29" s="59" t="n"/>
      <c r="GA29" s="59" t="n"/>
      <c r="GB29" s="59" t="n"/>
      <c r="GC29" s="59" t="n"/>
      <c r="GD29" s="59" t="n"/>
      <c r="GE29" s="59" t="n"/>
      <c r="GF29" s="59" t="n"/>
      <c r="GG29" s="59" t="n"/>
      <c r="GH29" s="59" t="n"/>
      <c r="GI29" s="59" t="n"/>
      <c r="GJ29" s="59" t="n"/>
      <c r="GK29" s="59" t="n"/>
      <c r="GL29" s="59" t="n"/>
      <c r="GM29" s="59" t="n"/>
      <c r="GN29" s="59" t="n"/>
      <c r="GO29" s="59" t="n"/>
      <c r="GP29" s="59" t="n"/>
      <c r="GQ29" s="59" t="n"/>
      <c r="GR29" s="59" t="n"/>
      <c r="GS29" s="59" t="n"/>
      <c r="GT29" s="59" t="n"/>
      <c r="GU29" s="59" t="n"/>
      <c r="GV29" s="59" t="n"/>
      <c r="GW29" s="59" t="n"/>
      <c r="GX29" s="59" t="n"/>
      <c r="GY29" s="59" t="n"/>
      <c r="GZ29" s="59" t="n"/>
      <c r="HA29" s="59" t="n"/>
      <c r="HB29" s="59" t="n"/>
      <c r="HC29" s="59" t="n"/>
      <c r="HD29" s="59" t="n"/>
      <c r="HE29" s="59" t="n"/>
      <c r="HF29" s="59" t="n"/>
      <c r="HG29" s="59" t="n"/>
      <c r="HH29" s="59" t="n"/>
      <c r="HI29" s="59" t="n"/>
      <c r="HJ29" s="59" t="n"/>
      <c r="HK29" s="59" t="n"/>
      <c r="HL29" s="59" t="n"/>
      <c r="HM29" s="59" t="n"/>
      <c r="HN29" s="59" t="n"/>
      <c r="HO29" s="59" t="n"/>
      <c r="HP29" s="59" t="n"/>
      <c r="HQ29" s="59" t="n"/>
      <c r="HR29" s="59" t="n"/>
      <c r="HS29" s="59" t="n"/>
      <c r="HT29" s="59" t="n"/>
      <c r="HU29" s="59" t="n"/>
      <c r="HV29" s="59" t="n"/>
      <c r="HW29" s="59" t="n"/>
      <c r="HX29" s="59" t="n"/>
      <c r="HY29" s="59" t="n"/>
      <c r="HZ29" s="59" t="n"/>
      <c r="IA29" s="59" t="n"/>
      <c r="IB29" s="59" t="n"/>
      <c r="IC29" s="59" t="n"/>
      <c r="ID29" s="59" t="n"/>
      <c r="IE29" s="59" t="n"/>
      <c r="IF29" s="59" t="n"/>
      <c r="IG29" s="59"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81" t="n"/>
      <c r="L30" s="181" t="n"/>
      <c r="M30" s="183" t="n"/>
      <c r="N30" s="181" t="n"/>
      <c r="O30" s="199" t="n"/>
      <c r="P30" s="181" t="n"/>
      <c r="Q30" s="181" t="n"/>
      <c r="R30" s="181" t="n"/>
      <c r="S30" s="181" t="n"/>
      <c r="T30" s="181" t="n"/>
      <c r="U30" s="181" t="n"/>
      <c r="V30" s="181" t="n"/>
      <c r="W30" s="181" t="n"/>
      <c r="X30" s="181" t="n"/>
      <c r="Y30" s="181" t="n"/>
      <c r="Z30" s="181" t="n"/>
      <c r="AA30" s="181" t="n"/>
      <c r="AB30" s="181"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59" t="n"/>
      <c r="BZ30" s="59" t="n"/>
      <c r="CA30" s="59" t="n"/>
      <c r="CB30" s="59" t="n"/>
      <c r="CC30" s="59" t="n"/>
      <c r="CD30" s="59" t="n"/>
      <c r="CE30" s="59" t="n"/>
      <c r="CF30" s="59" t="n"/>
      <c r="CG30" s="59" t="n"/>
      <c r="CH30" s="59" t="n"/>
      <c r="CI30" s="59" t="n"/>
      <c r="CJ30" s="59" t="n"/>
      <c r="CK30" s="59" t="n"/>
      <c r="CL30" s="59" t="n"/>
      <c r="CM30" s="59" t="n"/>
      <c r="CN30" s="59" t="n"/>
      <c r="CO30" s="59" t="n"/>
      <c r="CP30" s="59" t="n"/>
      <c r="CQ30" s="59" t="n"/>
      <c r="CR30" s="59" t="n"/>
      <c r="CS30" s="59" t="n"/>
      <c r="CT30" s="59" t="n"/>
      <c r="CU30" s="59" t="n"/>
      <c r="CV30" s="59" t="n"/>
      <c r="CW30" s="59" t="n"/>
      <c r="CX30" s="59" t="n"/>
      <c r="CY30" s="59" t="n"/>
      <c r="CZ30" s="59" t="n"/>
      <c r="DA30" s="59" t="n"/>
      <c r="DB30" s="59" t="n"/>
      <c r="DC30" s="59" t="n"/>
      <c r="DD30" s="59" t="n"/>
      <c r="DE30" s="59" t="n"/>
      <c r="DF30" s="59" t="n"/>
      <c r="DG30" s="59" t="n"/>
      <c r="DH30" s="59" t="n"/>
      <c r="DI30" s="59" t="n"/>
      <c r="DJ30" s="59" t="n"/>
      <c r="DK30" s="59" t="n"/>
      <c r="DL30" s="59" t="n"/>
      <c r="DM30" s="59" t="n"/>
      <c r="DN30" s="59" t="n"/>
      <c r="DO30" s="59" t="n"/>
      <c r="DP30" s="59" t="n"/>
      <c r="DQ30" s="59" t="n"/>
      <c r="DR30" s="59" t="n"/>
      <c r="DS30" s="59" t="n"/>
      <c r="DT30" s="59" t="n"/>
      <c r="DU30" s="59" t="n"/>
      <c r="DV30" s="59" t="n"/>
      <c r="DW30" s="59" t="n"/>
      <c r="DX30" s="59" t="n"/>
      <c r="DY30" s="59" t="n"/>
      <c r="DZ30" s="59" t="n"/>
      <c r="EA30" s="59" t="n"/>
      <c r="EB30" s="59" t="n"/>
      <c r="EC30" s="59" t="n"/>
      <c r="ED30" s="59" t="n"/>
      <c r="EE30" s="59" t="n"/>
      <c r="EF30" s="59" t="n"/>
      <c r="EG30" s="59" t="n"/>
      <c r="EH30" s="59" t="n"/>
      <c r="EI30" s="59" t="n"/>
      <c r="EJ30" s="59" t="n"/>
      <c r="EK30" s="59" t="n"/>
      <c r="EL30" s="59" t="n"/>
      <c r="EM30" s="59" t="n"/>
      <c r="EN30" s="59" t="n"/>
      <c r="EO30" s="59" t="n"/>
      <c r="EP30" s="59" t="n"/>
      <c r="EQ30" s="59" t="n"/>
      <c r="ER30" s="59" t="n"/>
      <c r="ES30" s="59" t="n"/>
      <c r="ET30" s="59" t="n"/>
      <c r="EU30" s="59" t="n"/>
      <c r="EV30" s="59" t="n"/>
      <c r="EW30" s="59" t="n"/>
      <c r="EX30" s="59" t="n"/>
      <c r="EY30" s="59" t="n"/>
      <c r="EZ30" s="59" t="n"/>
      <c r="FA30" s="59" t="n"/>
      <c r="FB30" s="59" t="n"/>
      <c r="FC30" s="59" t="n"/>
      <c r="FD30" s="59" t="n"/>
      <c r="FE30" s="59" t="n"/>
      <c r="FF30" s="59" t="n"/>
      <c r="FG30" s="59" t="n"/>
      <c r="FH30" s="59" t="n"/>
      <c r="FI30" s="59" t="n"/>
      <c r="FJ30" s="59" t="n"/>
      <c r="FK30" s="59" t="n"/>
      <c r="FL30" s="59" t="n"/>
      <c r="FM30" s="59" t="n"/>
      <c r="FN30" s="59" t="n"/>
      <c r="FO30" s="59" t="n"/>
      <c r="FP30" s="59" t="n"/>
      <c r="FQ30" s="59" t="n"/>
      <c r="FR30" s="59" t="n"/>
      <c r="FS30" s="59" t="n"/>
      <c r="FT30" s="59" t="n"/>
      <c r="FU30" s="59" t="n"/>
      <c r="FV30" s="59" t="n"/>
      <c r="FW30" s="59" t="n"/>
      <c r="FX30" s="59" t="n"/>
      <c r="FY30" s="59" t="n"/>
      <c r="FZ30" s="59" t="n"/>
      <c r="GA30" s="59" t="n"/>
      <c r="GB30" s="59" t="n"/>
      <c r="GC30" s="59" t="n"/>
      <c r="GD30" s="59" t="n"/>
      <c r="GE30" s="59" t="n"/>
      <c r="GF30" s="59" t="n"/>
      <c r="GG30" s="59" t="n"/>
      <c r="GH30" s="59" t="n"/>
      <c r="GI30" s="59" t="n"/>
      <c r="GJ30" s="59" t="n"/>
      <c r="GK30" s="59" t="n"/>
      <c r="GL30" s="59" t="n"/>
      <c r="GM30" s="59" t="n"/>
      <c r="GN30" s="59" t="n"/>
      <c r="GO30" s="59" t="n"/>
      <c r="GP30" s="59" t="n"/>
      <c r="GQ30" s="59" t="n"/>
      <c r="GR30" s="59" t="n"/>
      <c r="GS30" s="59" t="n"/>
      <c r="GT30" s="59" t="n"/>
      <c r="GU30" s="59" t="n"/>
      <c r="GV30" s="59" t="n"/>
      <c r="GW30" s="59" t="n"/>
      <c r="GX30" s="59" t="n"/>
      <c r="GY30" s="59" t="n"/>
      <c r="GZ30" s="59" t="n"/>
      <c r="HA30" s="59" t="n"/>
      <c r="HB30" s="59" t="n"/>
      <c r="HC30" s="59" t="n"/>
      <c r="HD30" s="59" t="n"/>
      <c r="HE30" s="59" t="n"/>
      <c r="HF30" s="59" t="n"/>
      <c r="HG30" s="59" t="n"/>
      <c r="HH30" s="59" t="n"/>
      <c r="HI30" s="59" t="n"/>
      <c r="HJ30" s="59" t="n"/>
      <c r="HK30" s="59" t="n"/>
      <c r="HL30" s="59" t="n"/>
      <c r="HM30" s="59" t="n"/>
      <c r="HN30" s="59" t="n"/>
      <c r="HO30" s="59" t="n"/>
      <c r="HP30" s="59" t="n"/>
      <c r="HQ30" s="59" t="n"/>
      <c r="HR30" s="59" t="n"/>
      <c r="HS30" s="59" t="n"/>
      <c r="HT30" s="59" t="n"/>
      <c r="HU30" s="59" t="n"/>
      <c r="HV30" s="59" t="n"/>
      <c r="HW30" s="59" t="n"/>
      <c r="HX30" s="59" t="n"/>
      <c r="HY30" s="59" t="n"/>
      <c r="HZ30" s="59" t="n"/>
      <c r="IA30" s="59" t="n"/>
      <c r="IB30" s="59" t="n"/>
      <c r="IC30" s="59" t="n"/>
      <c r="ID30" s="59" t="n"/>
      <c r="IE30" s="59" t="n"/>
      <c r="IF30" s="59" t="n"/>
      <c r="IG30" s="59"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81" t="n"/>
      <c r="L31" s="181" t="n"/>
      <c r="M31" s="181" t="n"/>
      <c r="N31" s="181" t="n"/>
      <c r="O31" s="199" t="n"/>
      <c r="P31" s="181" t="n"/>
      <c r="Q31" s="181" t="n"/>
      <c r="R31" s="181" t="n"/>
      <c r="S31" s="181" t="n"/>
      <c r="T31" s="181" t="n"/>
      <c r="U31" s="181" t="n"/>
      <c r="V31" s="181" t="n"/>
      <c r="W31" s="181" t="n"/>
      <c r="X31" s="181" t="n"/>
      <c r="Y31" s="181" t="n"/>
      <c r="Z31" s="181" t="n"/>
      <c r="AA31" s="181" t="n"/>
      <c r="AB31" s="181"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59" t="n"/>
      <c r="BZ31" s="59" t="n"/>
      <c r="CA31" s="59" t="n"/>
      <c r="CB31" s="59" t="n"/>
      <c r="CC31" s="59" t="n"/>
      <c r="CD31" s="59" t="n"/>
      <c r="CE31" s="59" t="n"/>
      <c r="CF31" s="59" t="n"/>
      <c r="CG31" s="59" t="n"/>
      <c r="CH31" s="59" t="n"/>
      <c r="CI31" s="59" t="n"/>
      <c r="CJ31" s="59" t="n"/>
      <c r="CK31" s="59" t="n"/>
      <c r="CL31" s="59" t="n"/>
      <c r="CM31" s="59" t="n"/>
      <c r="CN31" s="59" t="n"/>
      <c r="CO31" s="59" t="n"/>
      <c r="CP31" s="59" t="n"/>
      <c r="CQ31" s="59" t="n"/>
      <c r="CR31" s="59" t="n"/>
      <c r="CS31" s="59" t="n"/>
      <c r="CT31" s="59" t="n"/>
      <c r="CU31" s="59" t="n"/>
      <c r="CV31" s="59" t="n"/>
      <c r="CW31" s="59" t="n"/>
      <c r="CX31" s="59" t="n"/>
      <c r="CY31" s="59" t="n"/>
      <c r="CZ31" s="59" t="n"/>
      <c r="DA31" s="59" t="n"/>
      <c r="DB31" s="59" t="n"/>
      <c r="DC31" s="59" t="n"/>
      <c r="DD31" s="59" t="n"/>
      <c r="DE31" s="59" t="n"/>
      <c r="DF31" s="59" t="n"/>
      <c r="DG31" s="59" t="n"/>
      <c r="DH31" s="59" t="n"/>
      <c r="DI31" s="59" t="n"/>
      <c r="DJ31" s="59" t="n"/>
      <c r="DK31" s="59" t="n"/>
      <c r="DL31" s="59" t="n"/>
      <c r="DM31" s="59" t="n"/>
      <c r="DN31" s="59" t="n"/>
      <c r="DO31" s="59" t="n"/>
      <c r="DP31" s="59" t="n"/>
      <c r="DQ31" s="59" t="n"/>
      <c r="DR31" s="59" t="n"/>
      <c r="DS31" s="59" t="n"/>
      <c r="DT31" s="59" t="n"/>
      <c r="DU31" s="59" t="n"/>
      <c r="DV31" s="59" t="n"/>
      <c r="DW31" s="59" t="n"/>
      <c r="DX31" s="59" t="n"/>
      <c r="DY31" s="59" t="n"/>
      <c r="DZ31" s="59" t="n"/>
      <c r="EA31" s="59" t="n"/>
      <c r="EB31" s="59" t="n"/>
      <c r="EC31" s="59" t="n"/>
      <c r="ED31" s="59" t="n"/>
      <c r="EE31" s="59" t="n"/>
      <c r="EF31" s="59" t="n"/>
      <c r="EG31" s="59" t="n"/>
      <c r="EH31" s="59" t="n"/>
      <c r="EI31" s="59" t="n"/>
      <c r="EJ31" s="59" t="n"/>
      <c r="EK31" s="59" t="n"/>
      <c r="EL31" s="59" t="n"/>
      <c r="EM31" s="59" t="n"/>
      <c r="EN31" s="59" t="n"/>
      <c r="EO31" s="59" t="n"/>
      <c r="EP31" s="59" t="n"/>
      <c r="EQ31" s="59" t="n"/>
      <c r="ER31" s="59" t="n"/>
      <c r="ES31" s="59" t="n"/>
      <c r="ET31" s="59" t="n"/>
      <c r="EU31" s="59" t="n"/>
      <c r="EV31" s="59" t="n"/>
      <c r="EW31" s="59" t="n"/>
      <c r="EX31" s="59" t="n"/>
      <c r="EY31" s="59" t="n"/>
      <c r="EZ31" s="59" t="n"/>
      <c r="FA31" s="59" t="n"/>
      <c r="FB31" s="59" t="n"/>
      <c r="FC31" s="59" t="n"/>
      <c r="FD31" s="59" t="n"/>
      <c r="FE31" s="59" t="n"/>
      <c r="FF31" s="59" t="n"/>
      <c r="FG31" s="59" t="n"/>
      <c r="FH31" s="59" t="n"/>
      <c r="FI31" s="59" t="n"/>
      <c r="FJ31" s="59" t="n"/>
      <c r="FK31" s="59" t="n"/>
      <c r="FL31" s="59" t="n"/>
      <c r="FM31" s="59" t="n"/>
      <c r="FN31" s="59" t="n"/>
      <c r="FO31" s="59" t="n"/>
      <c r="FP31" s="59" t="n"/>
      <c r="FQ31" s="59" t="n"/>
      <c r="FR31" s="59" t="n"/>
      <c r="FS31" s="59" t="n"/>
      <c r="FT31" s="59" t="n"/>
      <c r="FU31" s="59" t="n"/>
      <c r="FV31" s="59" t="n"/>
      <c r="FW31" s="59" t="n"/>
      <c r="FX31" s="59" t="n"/>
      <c r="FY31" s="59" t="n"/>
      <c r="FZ31" s="59" t="n"/>
      <c r="GA31" s="59" t="n"/>
      <c r="GB31" s="59" t="n"/>
      <c r="GC31" s="59" t="n"/>
      <c r="GD31" s="59" t="n"/>
      <c r="GE31" s="59" t="n"/>
      <c r="GF31" s="59" t="n"/>
      <c r="GG31" s="59" t="n"/>
      <c r="GH31" s="59" t="n"/>
      <c r="GI31" s="59" t="n"/>
      <c r="GJ31" s="59" t="n"/>
      <c r="GK31" s="59" t="n"/>
      <c r="GL31" s="59" t="n"/>
      <c r="GM31" s="59" t="n"/>
      <c r="GN31" s="59" t="n"/>
      <c r="GO31" s="59" t="n"/>
      <c r="GP31" s="59" t="n"/>
      <c r="GQ31" s="59" t="n"/>
      <c r="GR31" s="59" t="n"/>
      <c r="GS31" s="59" t="n"/>
      <c r="GT31" s="59" t="n"/>
      <c r="GU31" s="59" t="n"/>
      <c r="GV31" s="59" t="n"/>
      <c r="GW31" s="59" t="n"/>
      <c r="GX31" s="59" t="n"/>
      <c r="GY31" s="59" t="n"/>
      <c r="GZ31" s="59" t="n"/>
      <c r="HA31" s="59" t="n"/>
      <c r="HB31" s="59" t="n"/>
      <c r="HC31" s="59" t="n"/>
      <c r="HD31" s="59" t="n"/>
      <c r="HE31" s="59" t="n"/>
      <c r="HF31" s="59" t="n"/>
      <c r="HG31" s="59" t="n"/>
      <c r="HH31" s="59" t="n"/>
      <c r="HI31" s="59" t="n"/>
      <c r="HJ31" s="59" t="n"/>
      <c r="HK31" s="59" t="n"/>
      <c r="HL31" s="59" t="n"/>
      <c r="HM31" s="59" t="n"/>
      <c r="HN31" s="59" t="n"/>
      <c r="HO31" s="59" t="n"/>
      <c r="HP31" s="59" t="n"/>
      <c r="HQ31" s="59" t="n"/>
      <c r="HR31" s="59" t="n"/>
      <c r="HS31" s="59" t="n"/>
      <c r="HT31" s="59" t="n"/>
      <c r="HU31" s="59" t="n"/>
      <c r="HV31" s="59" t="n"/>
      <c r="HW31" s="59" t="n"/>
      <c r="HX31" s="59" t="n"/>
      <c r="HY31" s="59" t="n"/>
      <c r="HZ31" s="59" t="n"/>
      <c r="IA31" s="59" t="n"/>
      <c r="IB31" s="59" t="n"/>
      <c r="IC31" s="59" t="n"/>
      <c r="ID31" s="59" t="n"/>
      <c r="IE31" s="59" t="n"/>
      <c r="IF31" s="59" t="n"/>
      <c r="IG31" s="59" t="n"/>
    </row>
    <row r="32" ht="16.5" customHeight="1">
      <c r="A32" s="181" t="n"/>
      <c r="B32" s="181" t="n"/>
      <c r="C32" s="181" t="n"/>
      <c r="D32" s="181" t="n"/>
      <c r="E32" s="181" t="n"/>
      <c r="F32" s="208" t="n">
        <v>26</v>
      </c>
      <c r="G32" s="209">
        <f>$C$39</f>
        <v/>
      </c>
      <c r="H32" s="209">
        <f>(J31*$C$16)/12</f>
        <v/>
      </c>
      <c r="I32" s="209">
        <f>G32-H32</f>
        <v/>
      </c>
      <c r="J32" s="209">
        <f>J31-I32</f>
        <v/>
      </c>
      <c r="K32" s="181" t="n"/>
      <c r="L32" s="181" t="n"/>
      <c r="M32" s="181" t="n"/>
      <c r="N32" s="181" t="n"/>
      <c r="O32" s="199" t="n"/>
      <c r="P32" s="181" t="n"/>
      <c r="Q32" s="181" t="n"/>
      <c r="R32" s="181" t="n"/>
      <c r="S32" s="181" t="n"/>
      <c r="T32" s="181" t="n"/>
      <c r="U32" s="181" t="n"/>
      <c r="V32" s="181" t="n"/>
      <c r="W32" s="181" t="n"/>
      <c r="X32" s="181" t="n"/>
      <c r="Y32" s="181" t="n"/>
      <c r="Z32" s="181" t="n"/>
      <c r="AA32" s="181" t="n"/>
      <c r="AB32" s="181"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59" t="n"/>
      <c r="BZ32" s="59" t="n"/>
      <c r="CA32" s="59" t="n"/>
      <c r="CB32" s="59" t="n"/>
      <c r="CC32" s="59" t="n"/>
      <c r="CD32" s="59" t="n"/>
      <c r="CE32" s="59" t="n"/>
      <c r="CF32" s="59" t="n"/>
      <c r="CG32" s="59" t="n"/>
      <c r="CH32" s="59" t="n"/>
      <c r="CI32" s="59" t="n"/>
      <c r="CJ32" s="59" t="n"/>
      <c r="CK32" s="59" t="n"/>
      <c r="CL32" s="59" t="n"/>
      <c r="CM32" s="59" t="n"/>
      <c r="CN32" s="59" t="n"/>
      <c r="CO32" s="59" t="n"/>
      <c r="CP32" s="59" t="n"/>
      <c r="CQ32" s="59" t="n"/>
      <c r="CR32" s="59" t="n"/>
      <c r="CS32" s="59" t="n"/>
      <c r="CT32" s="59" t="n"/>
      <c r="CU32" s="59" t="n"/>
      <c r="CV32" s="59" t="n"/>
      <c r="CW32" s="59" t="n"/>
      <c r="CX32" s="59" t="n"/>
      <c r="CY32" s="59" t="n"/>
      <c r="CZ32" s="59" t="n"/>
      <c r="DA32" s="59" t="n"/>
      <c r="DB32" s="59" t="n"/>
      <c r="DC32" s="59" t="n"/>
      <c r="DD32" s="59" t="n"/>
      <c r="DE32" s="59" t="n"/>
      <c r="DF32" s="59" t="n"/>
      <c r="DG32" s="59" t="n"/>
      <c r="DH32" s="59" t="n"/>
      <c r="DI32" s="59" t="n"/>
      <c r="DJ32" s="59" t="n"/>
      <c r="DK32" s="59" t="n"/>
      <c r="DL32" s="59" t="n"/>
      <c r="DM32" s="59" t="n"/>
      <c r="DN32" s="59" t="n"/>
      <c r="DO32" s="59" t="n"/>
      <c r="DP32" s="59" t="n"/>
      <c r="DQ32" s="59" t="n"/>
      <c r="DR32" s="59" t="n"/>
      <c r="DS32" s="59" t="n"/>
      <c r="DT32" s="59" t="n"/>
      <c r="DU32" s="59" t="n"/>
      <c r="DV32" s="59" t="n"/>
      <c r="DW32" s="59" t="n"/>
      <c r="DX32" s="59" t="n"/>
      <c r="DY32" s="59" t="n"/>
      <c r="DZ32" s="59" t="n"/>
      <c r="EA32" s="59" t="n"/>
      <c r="EB32" s="59" t="n"/>
      <c r="EC32" s="59" t="n"/>
      <c r="ED32" s="59" t="n"/>
      <c r="EE32" s="59" t="n"/>
      <c r="EF32" s="59" t="n"/>
      <c r="EG32" s="59" t="n"/>
      <c r="EH32" s="59" t="n"/>
      <c r="EI32" s="59" t="n"/>
      <c r="EJ32" s="59" t="n"/>
      <c r="EK32" s="59" t="n"/>
      <c r="EL32" s="59" t="n"/>
      <c r="EM32" s="59" t="n"/>
      <c r="EN32" s="59" t="n"/>
      <c r="EO32" s="59" t="n"/>
      <c r="EP32" s="59" t="n"/>
      <c r="EQ32" s="59" t="n"/>
      <c r="ER32" s="59" t="n"/>
      <c r="ES32" s="59" t="n"/>
      <c r="ET32" s="59" t="n"/>
      <c r="EU32" s="59" t="n"/>
      <c r="EV32" s="59" t="n"/>
      <c r="EW32" s="59" t="n"/>
      <c r="EX32" s="59" t="n"/>
      <c r="EY32" s="59" t="n"/>
      <c r="EZ32" s="59" t="n"/>
      <c r="FA32" s="59" t="n"/>
      <c r="FB32" s="59" t="n"/>
      <c r="FC32" s="59" t="n"/>
      <c r="FD32" s="59" t="n"/>
      <c r="FE32" s="59" t="n"/>
      <c r="FF32" s="59" t="n"/>
      <c r="FG32" s="59" t="n"/>
      <c r="FH32" s="59" t="n"/>
      <c r="FI32" s="59" t="n"/>
      <c r="FJ32" s="59" t="n"/>
      <c r="FK32" s="59" t="n"/>
      <c r="FL32" s="59" t="n"/>
      <c r="FM32" s="59" t="n"/>
      <c r="FN32" s="59" t="n"/>
      <c r="FO32" s="59" t="n"/>
      <c r="FP32" s="59" t="n"/>
      <c r="FQ32" s="59" t="n"/>
      <c r="FR32" s="59" t="n"/>
      <c r="FS32" s="59" t="n"/>
      <c r="FT32" s="59" t="n"/>
      <c r="FU32" s="59" t="n"/>
      <c r="FV32" s="59" t="n"/>
      <c r="FW32" s="59" t="n"/>
      <c r="FX32" s="59" t="n"/>
      <c r="FY32" s="59" t="n"/>
      <c r="FZ32" s="59" t="n"/>
      <c r="GA32" s="59" t="n"/>
      <c r="GB32" s="59" t="n"/>
      <c r="GC32" s="59" t="n"/>
      <c r="GD32" s="59" t="n"/>
      <c r="GE32" s="59" t="n"/>
      <c r="GF32" s="59" t="n"/>
      <c r="GG32" s="59" t="n"/>
      <c r="GH32" s="59" t="n"/>
      <c r="GI32" s="59" t="n"/>
      <c r="GJ32" s="59" t="n"/>
      <c r="GK32" s="59" t="n"/>
      <c r="GL32" s="59" t="n"/>
      <c r="GM32" s="59" t="n"/>
      <c r="GN32" s="59" t="n"/>
      <c r="GO32" s="59" t="n"/>
      <c r="GP32" s="59" t="n"/>
      <c r="GQ32" s="59" t="n"/>
      <c r="GR32" s="59" t="n"/>
      <c r="GS32" s="59" t="n"/>
      <c r="GT32" s="59" t="n"/>
      <c r="GU32" s="59" t="n"/>
      <c r="GV32" s="59" t="n"/>
      <c r="GW32" s="59" t="n"/>
      <c r="GX32" s="59" t="n"/>
      <c r="GY32" s="59" t="n"/>
      <c r="GZ32" s="59" t="n"/>
      <c r="HA32" s="59" t="n"/>
      <c r="HB32" s="59" t="n"/>
      <c r="HC32" s="59" t="n"/>
      <c r="HD32" s="59" t="n"/>
      <c r="HE32" s="59" t="n"/>
      <c r="HF32" s="59" t="n"/>
      <c r="HG32" s="59" t="n"/>
      <c r="HH32" s="59" t="n"/>
      <c r="HI32" s="59" t="n"/>
      <c r="HJ32" s="59" t="n"/>
      <c r="HK32" s="59" t="n"/>
      <c r="HL32" s="59" t="n"/>
      <c r="HM32" s="59" t="n"/>
      <c r="HN32" s="59" t="n"/>
      <c r="HO32" s="59" t="n"/>
      <c r="HP32" s="59" t="n"/>
      <c r="HQ32" s="59" t="n"/>
      <c r="HR32" s="59" t="n"/>
      <c r="HS32" s="59" t="n"/>
      <c r="HT32" s="59" t="n"/>
      <c r="HU32" s="59" t="n"/>
      <c r="HV32" s="59" t="n"/>
      <c r="HW32" s="59" t="n"/>
      <c r="HX32" s="59" t="n"/>
      <c r="HY32" s="59" t="n"/>
      <c r="HZ32" s="59" t="n"/>
      <c r="IA32" s="59" t="n"/>
      <c r="IB32" s="59" t="n"/>
      <c r="IC32" s="59" t="n"/>
      <c r="ID32" s="59" t="n"/>
      <c r="IE32" s="59" t="n"/>
      <c r="IF32" s="59" t="n"/>
      <c r="IG32" s="59"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81" t="n"/>
      <c r="L33" s="181" t="n"/>
      <c r="M33" s="181" t="n"/>
      <c r="N33" s="181" t="n"/>
      <c r="O33" s="181" t="n"/>
      <c r="P33" s="186" t="n"/>
      <c r="Q33" s="186" t="n"/>
      <c r="R33" s="181" t="n"/>
      <c r="S33" s="181" t="n"/>
      <c r="T33" s="181" t="n"/>
      <c r="U33" s="181" t="n"/>
      <c r="V33" s="181" t="n"/>
      <c r="W33" s="181" t="n"/>
      <c r="X33" s="181" t="n"/>
      <c r="Y33" s="181" t="n"/>
      <c r="Z33" s="181" t="n"/>
      <c r="AA33" s="181" t="n"/>
      <c r="AB33" s="181"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59" t="n"/>
      <c r="BZ33" s="59" t="n"/>
      <c r="CA33" s="59" t="n"/>
      <c r="CB33" s="59" t="n"/>
      <c r="CC33" s="59" t="n"/>
      <c r="CD33" s="59" t="n"/>
      <c r="CE33" s="59" t="n"/>
      <c r="CF33" s="59" t="n"/>
      <c r="CG33" s="59" t="n"/>
      <c r="CH33" s="59" t="n"/>
      <c r="CI33" s="59" t="n"/>
      <c r="CJ33" s="59" t="n"/>
      <c r="CK33" s="59" t="n"/>
      <c r="CL33" s="59" t="n"/>
      <c r="CM33" s="59" t="n"/>
      <c r="CN33" s="59" t="n"/>
      <c r="CO33" s="59" t="n"/>
      <c r="CP33" s="59" t="n"/>
      <c r="CQ33" s="59" t="n"/>
      <c r="CR33" s="59" t="n"/>
      <c r="CS33" s="59" t="n"/>
      <c r="CT33" s="59" t="n"/>
      <c r="CU33" s="59" t="n"/>
      <c r="CV33" s="59" t="n"/>
      <c r="CW33" s="59" t="n"/>
      <c r="CX33" s="59" t="n"/>
      <c r="CY33" s="59" t="n"/>
      <c r="CZ33" s="59" t="n"/>
      <c r="DA33" s="59" t="n"/>
      <c r="DB33" s="59" t="n"/>
      <c r="DC33" s="59" t="n"/>
      <c r="DD33" s="59" t="n"/>
      <c r="DE33" s="59" t="n"/>
      <c r="DF33" s="59" t="n"/>
      <c r="DG33" s="59" t="n"/>
      <c r="DH33" s="59" t="n"/>
      <c r="DI33" s="59" t="n"/>
      <c r="DJ33" s="59" t="n"/>
      <c r="DK33" s="59" t="n"/>
      <c r="DL33" s="59" t="n"/>
      <c r="DM33" s="59" t="n"/>
      <c r="DN33" s="59" t="n"/>
      <c r="DO33" s="59" t="n"/>
      <c r="DP33" s="59" t="n"/>
      <c r="DQ33" s="59" t="n"/>
      <c r="DR33" s="59" t="n"/>
      <c r="DS33" s="59" t="n"/>
      <c r="DT33" s="59" t="n"/>
      <c r="DU33" s="59" t="n"/>
      <c r="DV33" s="59" t="n"/>
      <c r="DW33" s="59" t="n"/>
      <c r="DX33" s="59" t="n"/>
      <c r="DY33" s="59" t="n"/>
      <c r="DZ33" s="59" t="n"/>
      <c r="EA33" s="59" t="n"/>
      <c r="EB33" s="59" t="n"/>
      <c r="EC33" s="59" t="n"/>
      <c r="ED33" s="59" t="n"/>
      <c r="EE33" s="59" t="n"/>
      <c r="EF33" s="59" t="n"/>
      <c r="EG33" s="59" t="n"/>
      <c r="EH33" s="59" t="n"/>
      <c r="EI33" s="59" t="n"/>
      <c r="EJ33" s="59" t="n"/>
      <c r="EK33" s="59" t="n"/>
      <c r="EL33" s="59" t="n"/>
      <c r="EM33" s="59" t="n"/>
      <c r="EN33" s="59" t="n"/>
      <c r="EO33" s="59" t="n"/>
      <c r="EP33" s="59" t="n"/>
      <c r="EQ33" s="59" t="n"/>
      <c r="ER33" s="59" t="n"/>
      <c r="ES33" s="59" t="n"/>
      <c r="ET33" s="59" t="n"/>
      <c r="EU33" s="59" t="n"/>
      <c r="EV33" s="59" t="n"/>
      <c r="EW33" s="59" t="n"/>
      <c r="EX33" s="59" t="n"/>
      <c r="EY33" s="59" t="n"/>
      <c r="EZ33" s="59" t="n"/>
      <c r="FA33" s="59" t="n"/>
      <c r="FB33" s="59" t="n"/>
      <c r="FC33" s="59" t="n"/>
      <c r="FD33" s="59" t="n"/>
      <c r="FE33" s="59" t="n"/>
      <c r="FF33" s="59" t="n"/>
      <c r="FG33" s="59" t="n"/>
      <c r="FH33" s="59" t="n"/>
      <c r="FI33" s="59" t="n"/>
      <c r="FJ33" s="59" t="n"/>
      <c r="FK33" s="59" t="n"/>
      <c r="FL33" s="59" t="n"/>
      <c r="FM33" s="59" t="n"/>
      <c r="FN33" s="59" t="n"/>
      <c r="FO33" s="59" t="n"/>
      <c r="FP33" s="59" t="n"/>
      <c r="FQ33" s="59" t="n"/>
      <c r="FR33" s="59" t="n"/>
      <c r="FS33" s="59" t="n"/>
      <c r="FT33" s="59" t="n"/>
      <c r="FU33" s="59" t="n"/>
      <c r="FV33" s="59" t="n"/>
      <c r="FW33" s="59" t="n"/>
      <c r="FX33" s="59" t="n"/>
      <c r="FY33" s="59" t="n"/>
      <c r="FZ33" s="59" t="n"/>
      <c r="GA33" s="59" t="n"/>
      <c r="GB33" s="59" t="n"/>
      <c r="GC33" s="59" t="n"/>
      <c r="GD33" s="59" t="n"/>
      <c r="GE33" s="59" t="n"/>
      <c r="GF33" s="59" t="n"/>
      <c r="GG33" s="59" t="n"/>
      <c r="GH33" s="59" t="n"/>
      <c r="GI33" s="59" t="n"/>
      <c r="GJ33" s="59" t="n"/>
      <c r="GK33" s="59" t="n"/>
      <c r="GL33" s="59" t="n"/>
      <c r="GM33" s="59" t="n"/>
      <c r="GN33" s="59" t="n"/>
      <c r="GO33" s="59" t="n"/>
      <c r="GP33" s="59" t="n"/>
      <c r="GQ33" s="59" t="n"/>
      <c r="GR33" s="59" t="n"/>
      <c r="GS33" s="59" t="n"/>
      <c r="GT33" s="59" t="n"/>
      <c r="GU33" s="59" t="n"/>
      <c r="GV33" s="59" t="n"/>
      <c r="GW33" s="59" t="n"/>
      <c r="GX33" s="59" t="n"/>
      <c r="GY33" s="59" t="n"/>
      <c r="GZ33" s="59" t="n"/>
      <c r="HA33" s="59" t="n"/>
      <c r="HB33" s="59" t="n"/>
      <c r="HC33" s="59" t="n"/>
      <c r="HD33" s="59" t="n"/>
      <c r="HE33" s="59" t="n"/>
      <c r="HF33" s="59" t="n"/>
      <c r="HG33" s="59" t="n"/>
      <c r="HH33" s="59" t="n"/>
      <c r="HI33" s="59" t="n"/>
      <c r="HJ33" s="59" t="n"/>
      <c r="HK33" s="59" t="n"/>
      <c r="HL33" s="59" t="n"/>
      <c r="HM33" s="59" t="n"/>
      <c r="HN33" s="59" t="n"/>
      <c r="HO33" s="59" t="n"/>
      <c r="HP33" s="59" t="n"/>
      <c r="HQ33" s="59" t="n"/>
      <c r="HR33" s="59" t="n"/>
      <c r="HS33" s="59" t="n"/>
      <c r="HT33" s="59" t="n"/>
      <c r="HU33" s="59" t="n"/>
      <c r="HV33" s="59" t="n"/>
      <c r="HW33" s="59" t="n"/>
      <c r="HX33" s="59" t="n"/>
      <c r="HY33" s="59" t="n"/>
      <c r="HZ33" s="59" t="n"/>
      <c r="IA33" s="59" t="n"/>
      <c r="IB33" s="59" t="n"/>
      <c r="IC33" s="59" t="n"/>
      <c r="ID33" s="59" t="n"/>
      <c r="IE33" s="59" t="n"/>
      <c r="IF33" s="59" t="n"/>
      <c r="IG33" s="59"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81" t="n"/>
      <c r="L34" s="181" t="n"/>
      <c r="M34" s="181" t="n"/>
      <c r="N34" s="181" t="n"/>
      <c r="O34" s="181" t="n"/>
      <c r="P34" s="181" t="n"/>
      <c r="Q34" s="181" t="n"/>
      <c r="R34" s="201" t="n"/>
      <c r="S34" s="181" t="n"/>
      <c r="T34" s="181" t="n"/>
      <c r="U34" s="181" t="n"/>
      <c r="V34" s="181" t="n"/>
      <c r="W34" s="181" t="n"/>
      <c r="X34" s="181" t="n"/>
      <c r="Y34" s="181" t="n"/>
      <c r="Z34" s="181" t="n"/>
      <c r="AA34" s="181" t="n"/>
      <c r="AB34" s="181"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59" t="n"/>
      <c r="BZ34" s="59" t="n"/>
      <c r="CA34" s="59" t="n"/>
      <c r="CB34" s="59" t="n"/>
      <c r="CC34" s="59" t="n"/>
      <c r="CD34" s="59" t="n"/>
      <c r="CE34" s="59" t="n"/>
      <c r="CF34" s="59" t="n"/>
      <c r="CG34" s="59" t="n"/>
      <c r="CH34" s="59" t="n"/>
      <c r="CI34" s="59" t="n"/>
      <c r="CJ34" s="59" t="n"/>
      <c r="CK34" s="59" t="n"/>
      <c r="CL34" s="59" t="n"/>
      <c r="CM34" s="59" t="n"/>
      <c r="CN34" s="59" t="n"/>
      <c r="CO34" s="59" t="n"/>
      <c r="CP34" s="59" t="n"/>
      <c r="CQ34" s="59" t="n"/>
      <c r="CR34" s="59" t="n"/>
      <c r="CS34" s="59" t="n"/>
      <c r="CT34" s="59" t="n"/>
      <c r="CU34" s="59" t="n"/>
      <c r="CV34" s="59" t="n"/>
      <c r="CW34" s="59" t="n"/>
      <c r="CX34" s="59" t="n"/>
      <c r="CY34" s="59" t="n"/>
      <c r="CZ34" s="59" t="n"/>
      <c r="DA34" s="59" t="n"/>
      <c r="DB34" s="59" t="n"/>
      <c r="DC34" s="59" t="n"/>
      <c r="DD34" s="59" t="n"/>
      <c r="DE34" s="59" t="n"/>
      <c r="DF34" s="59" t="n"/>
      <c r="DG34" s="59" t="n"/>
      <c r="DH34" s="59" t="n"/>
      <c r="DI34" s="59" t="n"/>
      <c r="DJ34" s="59" t="n"/>
      <c r="DK34" s="59" t="n"/>
      <c r="DL34" s="59" t="n"/>
      <c r="DM34" s="59" t="n"/>
      <c r="DN34" s="59" t="n"/>
      <c r="DO34" s="59" t="n"/>
      <c r="DP34" s="59" t="n"/>
      <c r="DQ34" s="59" t="n"/>
      <c r="DR34" s="59" t="n"/>
      <c r="DS34" s="59" t="n"/>
      <c r="DT34" s="59" t="n"/>
      <c r="DU34" s="59" t="n"/>
      <c r="DV34" s="59" t="n"/>
      <c r="DW34" s="59" t="n"/>
      <c r="DX34" s="59" t="n"/>
      <c r="DY34" s="59" t="n"/>
      <c r="DZ34" s="59" t="n"/>
      <c r="EA34" s="59" t="n"/>
      <c r="EB34" s="59" t="n"/>
      <c r="EC34" s="59" t="n"/>
      <c r="ED34" s="59" t="n"/>
      <c r="EE34" s="59" t="n"/>
      <c r="EF34" s="59" t="n"/>
      <c r="EG34" s="59" t="n"/>
      <c r="EH34" s="59" t="n"/>
      <c r="EI34" s="59" t="n"/>
      <c r="EJ34" s="59" t="n"/>
      <c r="EK34" s="59" t="n"/>
      <c r="EL34" s="59" t="n"/>
      <c r="EM34" s="59" t="n"/>
      <c r="EN34" s="59" t="n"/>
      <c r="EO34" s="59" t="n"/>
      <c r="EP34" s="59" t="n"/>
      <c r="EQ34" s="59" t="n"/>
      <c r="ER34" s="59" t="n"/>
      <c r="ES34" s="59" t="n"/>
      <c r="ET34" s="59" t="n"/>
      <c r="EU34" s="59" t="n"/>
      <c r="EV34" s="59" t="n"/>
      <c r="EW34" s="59" t="n"/>
      <c r="EX34" s="59" t="n"/>
      <c r="EY34" s="59" t="n"/>
      <c r="EZ34" s="59" t="n"/>
      <c r="FA34" s="59" t="n"/>
      <c r="FB34" s="59" t="n"/>
      <c r="FC34" s="59" t="n"/>
      <c r="FD34" s="59" t="n"/>
      <c r="FE34" s="59" t="n"/>
      <c r="FF34" s="59" t="n"/>
      <c r="FG34" s="59" t="n"/>
      <c r="FH34" s="59" t="n"/>
      <c r="FI34" s="59" t="n"/>
      <c r="FJ34" s="59" t="n"/>
      <c r="FK34" s="59" t="n"/>
      <c r="FL34" s="59" t="n"/>
      <c r="FM34" s="59" t="n"/>
      <c r="FN34" s="59" t="n"/>
      <c r="FO34" s="59" t="n"/>
      <c r="FP34" s="59" t="n"/>
      <c r="FQ34" s="59" t="n"/>
      <c r="FR34" s="59" t="n"/>
      <c r="FS34" s="59" t="n"/>
      <c r="FT34" s="59" t="n"/>
      <c r="FU34" s="59" t="n"/>
      <c r="FV34" s="59" t="n"/>
      <c r="FW34" s="59" t="n"/>
      <c r="FX34" s="59" t="n"/>
      <c r="FY34" s="59" t="n"/>
      <c r="FZ34" s="59" t="n"/>
      <c r="GA34" s="59" t="n"/>
      <c r="GB34" s="59" t="n"/>
      <c r="GC34" s="59" t="n"/>
      <c r="GD34" s="59" t="n"/>
      <c r="GE34" s="59" t="n"/>
      <c r="GF34" s="59" t="n"/>
      <c r="GG34" s="59" t="n"/>
      <c r="GH34" s="59" t="n"/>
      <c r="GI34" s="59" t="n"/>
      <c r="GJ34" s="59" t="n"/>
      <c r="GK34" s="59" t="n"/>
      <c r="GL34" s="59" t="n"/>
      <c r="GM34" s="59" t="n"/>
      <c r="GN34" s="59" t="n"/>
      <c r="GO34" s="59" t="n"/>
      <c r="GP34" s="59" t="n"/>
      <c r="GQ34" s="59" t="n"/>
      <c r="GR34" s="59" t="n"/>
      <c r="GS34" s="59" t="n"/>
      <c r="GT34" s="59" t="n"/>
      <c r="GU34" s="59" t="n"/>
      <c r="GV34" s="59" t="n"/>
      <c r="GW34" s="59" t="n"/>
      <c r="GX34" s="59" t="n"/>
      <c r="GY34" s="59" t="n"/>
      <c r="GZ34" s="59" t="n"/>
      <c r="HA34" s="59" t="n"/>
      <c r="HB34" s="59" t="n"/>
      <c r="HC34" s="59" t="n"/>
      <c r="HD34" s="59" t="n"/>
      <c r="HE34" s="59" t="n"/>
      <c r="HF34" s="59" t="n"/>
      <c r="HG34" s="59" t="n"/>
      <c r="HH34" s="59" t="n"/>
      <c r="HI34" s="59" t="n"/>
      <c r="HJ34" s="59" t="n"/>
      <c r="HK34" s="59" t="n"/>
      <c r="HL34" s="59" t="n"/>
      <c r="HM34" s="59" t="n"/>
      <c r="HN34" s="59" t="n"/>
      <c r="HO34" s="59" t="n"/>
      <c r="HP34" s="59" t="n"/>
      <c r="HQ34" s="59" t="n"/>
      <c r="HR34" s="59" t="n"/>
      <c r="HS34" s="59" t="n"/>
      <c r="HT34" s="59" t="n"/>
      <c r="HU34" s="59" t="n"/>
      <c r="HV34" s="59" t="n"/>
      <c r="HW34" s="59" t="n"/>
      <c r="HX34" s="59" t="n"/>
      <c r="HY34" s="59" t="n"/>
      <c r="HZ34" s="59" t="n"/>
      <c r="IA34" s="59" t="n"/>
      <c r="IB34" s="59" t="n"/>
      <c r="IC34" s="59" t="n"/>
      <c r="ID34" s="59" t="n"/>
      <c r="IE34" s="59" t="n"/>
      <c r="IF34" s="59" t="n"/>
      <c r="IG34" s="59"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81" t="n"/>
      <c r="L35" s="181" t="n"/>
      <c r="M35" s="181" t="n"/>
      <c r="N35" s="181" t="n"/>
      <c r="O35" s="181" t="n"/>
      <c r="P35" s="181" t="n"/>
      <c r="Q35" s="181" t="n"/>
      <c r="R35" s="181" t="n"/>
      <c r="S35" s="181" t="n"/>
      <c r="T35" s="181" t="n"/>
      <c r="U35" s="181" t="n"/>
      <c r="V35" s="181" t="n"/>
      <c r="W35" s="181" t="n"/>
      <c r="X35" s="181" t="n"/>
      <c r="Y35" s="181" t="n"/>
      <c r="Z35" s="181" t="n"/>
      <c r="AA35" s="181" t="n"/>
      <c r="AB35" s="181"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59" t="n"/>
      <c r="BZ35" s="59" t="n"/>
      <c r="CA35" s="59" t="n"/>
      <c r="CB35" s="59" t="n"/>
      <c r="CC35" s="59" t="n"/>
      <c r="CD35" s="59" t="n"/>
      <c r="CE35" s="59" t="n"/>
      <c r="CF35" s="59" t="n"/>
      <c r="CG35" s="59" t="n"/>
      <c r="CH35" s="59" t="n"/>
      <c r="CI35" s="59" t="n"/>
      <c r="CJ35" s="59" t="n"/>
      <c r="CK35" s="59" t="n"/>
      <c r="CL35" s="59" t="n"/>
      <c r="CM35" s="59" t="n"/>
      <c r="CN35" s="59" t="n"/>
      <c r="CO35" s="59" t="n"/>
      <c r="CP35" s="59" t="n"/>
      <c r="CQ35" s="59" t="n"/>
      <c r="CR35" s="59" t="n"/>
      <c r="CS35" s="59" t="n"/>
      <c r="CT35" s="59" t="n"/>
      <c r="CU35" s="59" t="n"/>
      <c r="CV35" s="59" t="n"/>
      <c r="CW35" s="59" t="n"/>
      <c r="CX35" s="59" t="n"/>
      <c r="CY35" s="59" t="n"/>
      <c r="CZ35" s="59" t="n"/>
      <c r="DA35" s="59" t="n"/>
      <c r="DB35" s="59" t="n"/>
      <c r="DC35" s="59" t="n"/>
      <c r="DD35" s="59" t="n"/>
      <c r="DE35" s="59" t="n"/>
      <c r="DF35" s="59" t="n"/>
      <c r="DG35" s="59" t="n"/>
      <c r="DH35" s="59" t="n"/>
      <c r="DI35" s="59" t="n"/>
      <c r="DJ35" s="59" t="n"/>
      <c r="DK35" s="59" t="n"/>
      <c r="DL35" s="59" t="n"/>
      <c r="DM35" s="59" t="n"/>
      <c r="DN35" s="59" t="n"/>
      <c r="DO35" s="59" t="n"/>
      <c r="DP35" s="59" t="n"/>
      <c r="DQ35" s="59" t="n"/>
      <c r="DR35" s="59" t="n"/>
      <c r="DS35" s="59" t="n"/>
      <c r="DT35" s="59" t="n"/>
      <c r="DU35" s="59" t="n"/>
      <c r="DV35" s="59" t="n"/>
      <c r="DW35" s="59" t="n"/>
      <c r="DX35" s="59" t="n"/>
      <c r="DY35" s="59" t="n"/>
      <c r="DZ35" s="59" t="n"/>
      <c r="EA35" s="59" t="n"/>
      <c r="EB35" s="59" t="n"/>
      <c r="EC35" s="59" t="n"/>
      <c r="ED35" s="59" t="n"/>
      <c r="EE35" s="59" t="n"/>
      <c r="EF35" s="59" t="n"/>
      <c r="EG35" s="59" t="n"/>
      <c r="EH35" s="59" t="n"/>
      <c r="EI35" s="59" t="n"/>
      <c r="EJ35" s="59" t="n"/>
      <c r="EK35" s="59" t="n"/>
      <c r="EL35" s="59" t="n"/>
      <c r="EM35" s="59" t="n"/>
      <c r="EN35" s="59" t="n"/>
      <c r="EO35" s="59" t="n"/>
      <c r="EP35" s="59" t="n"/>
      <c r="EQ35" s="59" t="n"/>
      <c r="ER35" s="59" t="n"/>
      <c r="ES35" s="59" t="n"/>
      <c r="ET35" s="59" t="n"/>
      <c r="EU35" s="59" t="n"/>
      <c r="EV35" s="59" t="n"/>
      <c r="EW35" s="59" t="n"/>
      <c r="EX35" s="59" t="n"/>
      <c r="EY35" s="59" t="n"/>
      <c r="EZ35" s="59" t="n"/>
      <c r="FA35" s="59" t="n"/>
      <c r="FB35" s="59" t="n"/>
      <c r="FC35" s="59" t="n"/>
      <c r="FD35" s="59" t="n"/>
      <c r="FE35" s="59" t="n"/>
      <c r="FF35" s="59" t="n"/>
      <c r="FG35" s="59" t="n"/>
      <c r="FH35" s="59" t="n"/>
      <c r="FI35" s="59" t="n"/>
      <c r="FJ35" s="59" t="n"/>
      <c r="FK35" s="59" t="n"/>
      <c r="FL35" s="59" t="n"/>
      <c r="FM35" s="59" t="n"/>
      <c r="FN35" s="59" t="n"/>
      <c r="FO35" s="59" t="n"/>
      <c r="FP35" s="59" t="n"/>
      <c r="FQ35" s="59" t="n"/>
      <c r="FR35" s="59" t="n"/>
      <c r="FS35" s="59" t="n"/>
      <c r="FT35" s="59" t="n"/>
      <c r="FU35" s="59" t="n"/>
      <c r="FV35" s="59" t="n"/>
      <c r="FW35" s="59" t="n"/>
      <c r="FX35" s="59" t="n"/>
      <c r="FY35" s="59" t="n"/>
      <c r="FZ35" s="59" t="n"/>
      <c r="GA35" s="59" t="n"/>
      <c r="GB35" s="59" t="n"/>
      <c r="GC35" s="59" t="n"/>
      <c r="GD35" s="59" t="n"/>
      <c r="GE35" s="59" t="n"/>
      <c r="GF35" s="59" t="n"/>
      <c r="GG35" s="59" t="n"/>
      <c r="GH35" s="59" t="n"/>
      <c r="GI35" s="59" t="n"/>
      <c r="GJ35" s="59" t="n"/>
      <c r="GK35" s="59" t="n"/>
      <c r="GL35" s="59" t="n"/>
      <c r="GM35" s="59" t="n"/>
      <c r="GN35" s="59" t="n"/>
      <c r="GO35" s="59" t="n"/>
      <c r="GP35" s="59" t="n"/>
      <c r="GQ35" s="59" t="n"/>
      <c r="GR35" s="59" t="n"/>
      <c r="GS35" s="59" t="n"/>
      <c r="GT35" s="59" t="n"/>
      <c r="GU35" s="59" t="n"/>
      <c r="GV35" s="59" t="n"/>
      <c r="GW35" s="59" t="n"/>
      <c r="GX35" s="59" t="n"/>
      <c r="GY35" s="59" t="n"/>
      <c r="GZ35" s="59" t="n"/>
      <c r="HA35" s="59" t="n"/>
      <c r="HB35" s="59" t="n"/>
      <c r="HC35" s="59" t="n"/>
      <c r="HD35" s="59" t="n"/>
      <c r="HE35" s="59" t="n"/>
      <c r="HF35" s="59" t="n"/>
      <c r="HG35" s="59" t="n"/>
      <c r="HH35" s="59" t="n"/>
      <c r="HI35" s="59" t="n"/>
      <c r="HJ35" s="59" t="n"/>
      <c r="HK35" s="59" t="n"/>
      <c r="HL35" s="59" t="n"/>
      <c r="HM35" s="59" t="n"/>
      <c r="HN35" s="59" t="n"/>
      <c r="HO35" s="59" t="n"/>
      <c r="HP35" s="59" t="n"/>
      <c r="HQ35" s="59" t="n"/>
      <c r="HR35" s="59" t="n"/>
      <c r="HS35" s="59" t="n"/>
      <c r="HT35" s="59" t="n"/>
      <c r="HU35" s="59" t="n"/>
      <c r="HV35" s="59" t="n"/>
      <c r="HW35" s="59" t="n"/>
      <c r="HX35" s="59" t="n"/>
      <c r="HY35" s="59" t="n"/>
      <c r="HZ35" s="59" t="n"/>
      <c r="IA35" s="59" t="n"/>
      <c r="IB35" s="59" t="n"/>
      <c r="IC35" s="59" t="n"/>
      <c r="ID35" s="59" t="n"/>
      <c r="IE35" s="59" t="n"/>
      <c r="IF35" s="59" t="n"/>
      <c r="IG35" s="59"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81" t="n"/>
      <c r="L36" s="181" t="n"/>
      <c r="M36" s="958" t="n"/>
      <c r="N36" s="181" t="n"/>
      <c r="O36" s="181" t="n"/>
      <c r="P36" s="181" t="n"/>
      <c r="Q36" s="181" t="n"/>
      <c r="R36" s="202" t="n"/>
      <c r="S36" s="181" t="n"/>
      <c r="T36" s="181" t="n"/>
      <c r="U36" s="181" t="n"/>
      <c r="V36" s="181" t="n"/>
      <c r="W36" s="181" t="n"/>
      <c r="X36" s="181" t="n"/>
      <c r="Y36" s="181" t="n"/>
      <c r="Z36" s="181" t="n"/>
      <c r="AA36" s="181" t="n"/>
      <c r="AB36" s="181"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59" t="n"/>
      <c r="BZ36" s="59" t="n"/>
      <c r="CA36" s="59" t="n"/>
      <c r="CB36" s="59" t="n"/>
      <c r="CC36" s="59" t="n"/>
      <c r="CD36" s="59" t="n"/>
      <c r="CE36" s="59" t="n"/>
      <c r="CF36" s="59" t="n"/>
      <c r="CG36" s="59" t="n"/>
      <c r="CH36" s="59" t="n"/>
      <c r="CI36" s="59" t="n"/>
      <c r="CJ36" s="59" t="n"/>
      <c r="CK36" s="59" t="n"/>
      <c r="CL36" s="59" t="n"/>
      <c r="CM36" s="59" t="n"/>
      <c r="CN36" s="59" t="n"/>
      <c r="CO36" s="59" t="n"/>
      <c r="CP36" s="59" t="n"/>
      <c r="CQ36" s="59" t="n"/>
      <c r="CR36" s="59" t="n"/>
      <c r="CS36" s="59" t="n"/>
      <c r="CT36" s="59" t="n"/>
      <c r="CU36" s="59" t="n"/>
      <c r="CV36" s="59" t="n"/>
      <c r="CW36" s="59" t="n"/>
      <c r="CX36" s="59" t="n"/>
      <c r="CY36" s="59" t="n"/>
      <c r="CZ36" s="59" t="n"/>
      <c r="DA36" s="59" t="n"/>
      <c r="DB36" s="59" t="n"/>
      <c r="DC36" s="59" t="n"/>
      <c r="DD36" s="59" t="n"/>
      <c r="DE36" s="59" t="n"/>
      <c r="DF36" s="59" t="n"/>
      <c r="DG36" s="59" t="n"/>
      <c r="DH36" s="59" t="n"/>
      <c r="DI36" s="59" t="n"/>
      <c r="DJ36" s="59" t="n"/>
      <c r="DK36" s="59" t="n"/>
      <c r="DL36" s="59" t="n"/>
      <c r="DM36" s="59" t="n"/>
      <c r="DN36" s="59" t="n"/>
      <c r="DO36" s="59" t="n"/>
      <c r="DP36" s="59" t="n"/>
      <c r="DQ36" s="59" t="n"/>
      <c r="DR36" s="59" t="n"/>
      <c r="DS36" s="59" t="n"/>
      <c r="DT36" s="59" t="n"/>
      <c r="DU36" s="59" t="n"/>
      <c r="DV36" s="59" t="n"/>
      <c r="DW36" s="59" t="n"/>
      <c r="DX36" s="59" t="n"/>
      <c r="DY36" s="59" t="n"/>
      <c r="DZ36" s="59" t="n"/>
      <c r="EA36" s="59" t="n"/>
      <c r="EB36" s="59" t="n"/>
      <c r="EC36" s="59" t="n"/>
      <c r="ED36" s="59" t="n"/>
      <c r="EE36" s="59" t="n"/>
      <c r="EF36" s="59" t="n"/>
      <c r="EG36" s="59" t="n"/>
      <c r="EH36" s="59" t="n"/>
      <c r="EI36" s="59" t="n"/>
      <c r="EJ36" s="59" t="n"/>
      <c r="EK36" s="59" t="n"/>
      <c r="EL36" s="59" t="n"/>
      <c r="EM36" s="59" t="n"/>
      <c r="EN36" s="59" t="n"/>
      <c r="EO36" s="59" t="n"/>
      <c r="EP36" s="59" t="n"/>
      <c r="EQ36" s="59" t="n"/>
      <c r="ER36" s="59" t="n"/>
      <c r="ES36" s="59" t="n"/>
      <c r="ET36" s="59" t="n"/>
      <c r="EU36" s="59" t="n"/>
      <c r="EV36" s="59" t="n"/>
      <c r="EW36" s="59" t="n"/>
      <c r="EX36" s="59" t="n"/>
      <c r="EY36" s="59" t="n"/>
      <c r="EZ36" s="59" t="n"/>
      <c r="FA36" s="59" t="n"/>
      <c r="FB36" s="59" t="n"/>
      <c r="FC36" s="59" t="n"/>
      <c r="FD36" s="59" t="n"/>
      <c r="FE36" s="59" t="n"/>
      <c r="FF36" s="59" t="n"/>
      <c r="FG36" s="59" t="n"/>
      <c r="FH36" s="59" t="n"/>
      <c r="FI36" s="59" t="n"/>
      <c r="FJ36" s="59" t="n"/>
      <c r="FK36" s="59" t="n"/>
      <c r="FL36" s="59" t="n"/>
      <c r="FM36" s="59" t="n"/>
      <c r="FN36" s="59" t="n"/>
      <c r="FO36" s="59" t="n"/>
      <c r="FP36" s="59" t="n"/>
      <c r="FQ36" s="59" t="n"/>
      <c r="FR36" s="59" t="n"/>
      <c r="FS36" s="59" t="n"/>
      <c r="FT36" s="59" t="n"/>
      <c r="FU36" s="59" t="n"/>
      <c r="FV36" s="59" t="n"/>
      <c r="FW36" s="59" t="n"/>
      <c r="FX36" s="59" t="n"/>
      <c r="FY36" s="59" t="n"/>
      <c r="FZ36" s="59" t="n"/>
      <c r="GA36" s="59" t="n"/>
      <c r="GB36" s="59" t="n"/>
      <c r="GC36" s="59" t="n"/>
      <c r="GD36" s="59" t="n"/>
      <c r="GE36" s="59" t="n"/>
      <c r="GF36" s="59" t="n"/>
      <c r="GG36" s="59" t="n"/>
      <c r="GH36" s="59" t="n"/>
      <c r="GI36" s="59" t="n"/>
      <c r="GJ36" s="59" t="n"/>
      <c r="GK36" s="59" t="n"/>
      <c r="GL36" s="59" t="n"/>
      <c r="GM36" s="59" t="n"/>
      <c r="GN36" s="59" t="n"/>
      <c r="GO36" s="59" t="n"/>
      <c r="GP36" s="59" t="n"/>
      <c r="GQ36" s="59" t="n"/>
      <c r="GR36" s="59" t="n"/>
      <c r="GS36" s="59" t="n"/>
      <c r="GT36" s="59" t="n"/>
      <c r="GU36" s="59" t="n"/>
      <c r="GV36" s="59" t="n"/>
      <c r="GW36" s="59" t="n"/>
      <c r="GX36" s="59" t="n"/>
      <c r="GY36" s="59" t="n"/>
      <c r="GZ36" s="59" t="n"/>
      <c r="HA36" s="59" t="n"/>
      <c r="HB36" s="59" t="n"/>
      <c r="HC36" s="59" t="n"/>
      <c r="HD36" s="59" t="n"/>
      <c r="HE36" s="59" t="n"/>
      <c r="HF36" s="59" t="n"/>
      <c r="HG36" s="59" t="n"/>
      <c r="HH36" s="59" t="n"/>
      <c r="HI36" s="59" t="n"/>
      <c r="HJ36" s="59" t="n"/>
      <c r="HK36" s="59" t="n"/>
      <c r="HL36" s="59" t="n"/>
      <c r="HM36" s="59" t="n"/>
      <c r="HN36" s="59" t="n"/>
      <c r="HO36" s="59" t="n"/>
      <c r="HP36" s="59" t="n"/>
      <c r="HQ36" s="59" t="n"/>
      <c r="HR36" s="59" t="n"/>
      <c r="HS36" s="59" t="n"/>
      <c r="HT36" s="59" t="n"/>
      <c r="HU36" s="59" t="n"/>
      <c r="HV36" s="59" t="n"/>
      <c r="HW36" s="59" t="n"/>
      <c r="HX36" s="59" t="n"/>
      <c r="HY36" s="59" t="n"/>
      <c r="HZ36" s="59" t="n"/>
      <c r="IA36" s="59" t="n"/>
      <c r="IB36" s="59" t="n"/>
      <c r="IC36" s="59" t="n"/>
      <c r="ID36" s="59" t="n"/>
      <c r="IE36" s="59" t="n"/>
      <c r="IF36" s="59" t="n"/>
      <c r="IG36" s="59" t="n"/>
    </row>
    <row r="37" ht="16.5" customHeight="1">
      <c r="A37" s="181" t="n"/>
      <c r="B37" s="59" t="n"/>
      <c r="C37" s="59" t="n"/>
      <c r="D37" s="181" t="n"/>
      <c r="E37" s="181" t="n"/>
      <c r="F37" s="208" t="n">
        <v>31</v>
      </c>
      <c r="G37" s="209">
        <f>$C$39</f>
        <v/>
      </c>
      <c r="H37" s="209">
        <f>(J36*$C$16)/12</f>
        <v/>
      </c>
      <c r="I37" s="209">
        <f>G37-H37</f>
        <v/>
      </c>
      <c r="J37" s="209">
        <f>J36-I37</f>
        <v/>
      </c>
      <c r="K37" s="181" t="n"/>
      <c r="L37" s="181" t="n"/>
      <c r="M37" s="958" t="n"/>
      <c r="N37" s="181" t="n"/>
      <c r="O37" s="181" t="n"/>
      <c r="P37" s="181" t="n"/>
      <c r="Q37" s="181" t="n"/>
      <c r="R37" s="181" t="n"/>
      <c r="S37" s="181" t="n"/>
      <c r="T37" s="181" t="n"/>
      <c r="U37" s="181" t="n"/>
      <c r="V37" s="181" t="n"/>
      <c r="W37" s="181" t="n"/>
      <c r="X37" s="181" t="n"/>
      <c r="Y37" s="181" t="n"/>
      <c r="Z37" s="181" t="n"/>
      <c r="AA37" s="181" t="n"/>
      <c r="AB37" s="181"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59" t="n"/>
      <c r="BZ37" s="59" t="n"/>
      <c r="CA37" s="59" t="n"/>
      <c r="CB37" s="59" t="n"/>
      <c r="CC37" s="59" t="n"/>
      <c r="CD37" s="59" t="n"/>
      <c r="CE37" s="59" t="n"/>
      <c r="CF37" s="59" t="n"/>
      <c r="CG37" s="59" t="n"/>
      <c r="CH37" s="59" t="n"/>
      <c r="CI37" s="59" t="n"/>
      <c r="CJ37" s="59" t="n"/>
      <c r="CK37" s="59" t="n"/>
      <c r="CL37" s="59" t="n"/>
      <c r="CM37" s="59" t="n"/>
      <c r="CN37" s="59" t="n"/>
      <c r="CO37" s="59" t="n"/>
      <c r="CP37" s="59" t="n"/>
      <c r="CQ37" s="59" t="n"/>
      <c r="CR37" s="59" t="n"/>
      <c r="CS37" s="59" t="n"/>
      <c r="CT37" s="59" t="n"/>
      <c r="CU37" s="59" t="n"/>
      <c r="CV37" s="59" t="n"/>
      <c r="CW37" s="59" t="n"/>
      <c r="CX37" s="59" t="n"/>
      <c r="CY37" s="59" t="n"/>
      <c r="CZ37" s="59" t="n"/>
      <c r="DA37" s="59" t="n"/>
      <c r="DB37" s="59" t="n"/>
      <c r="DC37" s="59" t="n"/>
      <c r="DD37" s="59" t="n"/>
      <c r="DE37" s="59" t="n"/>
      <c r="DF37" s="59" t="n"/>
      <c r="DG37" s="59" t="n"/>
      <c r="DH37" s="59" t="n"/>
      <c r="DI37" s="59" t="n"/>
      <c r="DJ37" s="59" t="n"/>
      <c r="DK37" s="59" t="n"/>
      <c r="DL37" s="59" t="n"/>
      <c r="DM37" s="59" t="n"/>
      <c r="DN37" s="59" t="n"/>
      <c r="DO37" s="59" t="n"/>
      <c r="DP37" s="59" t="n"/>
      <c r="DQ37" s="59" t="n"/>
      <c r="DR37" s="59" t="n"/>
      <c r="DS37" s="59" t="n"/>
      <c r="DT37" s="59" t="n"/>
      <c r="DU37" s="59" t="n"/>
      <c r="DV37" s="59" t="n"/>
      <c r="DW37" s="59" t="n"/>
      <c r="DX37" s="59" t="n"/>
      <c r="DY37" s="59" t="n"/>
      <c r="DZ37" s="59" t="n"/>
      <c r="EA37" s="59" t="n"/>
      <c r="EB37" s="59" t="n"/>
      <c r="EC37" s="59" t="n"/>
      <c r="ED37" s="59" t="n"/>
      <c r="EE37" s="59" t="n"/>
      <c r="EF37" s="59" t="n"/>
      <c r="EG37" s="59" t="n"/>
      <c r="EH37" s="59" t="n"/>
      <c r="EI37" s="59" t="n"/>
      <c r="EJ37" s="59" t="n"/>
      <c r="EK37" s="59" t="n"/>
      <c r="EL37" s="59" t="n"/>
      <c r="EM37" s="59" t="n"/>
      <c r="EN37" s="59" t="n"/>
      <c r="EO37" s="59" t="n"/>
      <c r="EP37" s="59" t="n"/>
      <c r="EQ37" s="59" t="n"/>
      <c r="ER37" s="59" t="n"/>
      <c r="ES37" s="59" t="n"/>
      <c r="ET37" s="59" t="n"/>
      <c r="EU37" s="59" t="n"/>
      <c r="EV37" s="59" t="n"/>
      <c r="EW37" s="59" t="n"/>
      <c r="EX37" s="59" t="n"/>
      <c r="EY37" s="59" t="n"/>
      <c r="EZ37" s="59" t="n"/>
      <c r="FA37" s="59" t="n"/>
      <c r="FB37" s="59" t="n"/>
      <c r="FC37" s="59" t="n"/>
      <c r="FD37" s="59" t="n"/>
      <c r="FE37" s="59" t="n"/>
      <c r="FF37" s="59" t="n"/>
      <c r="FG37" s="59" t="n"/>
      <c r="FH37" s="59" t="n"/>
      <c r="FI37" s="59" t="n"/>
      <c r="FJ37" s="59" t="n"/>
      <c r="FK37" s="59" t="n"/>
      <c r="FL37" s="59" t="n"/>
      <c r="FM37" s="59" t="n"/>
      <c r="FN37" s="59" t="n"/>
      <c r="FO37" s="59" t="n"/>
      <c r="FP37" s="59" t="n"/>
      <c r="FQ37" s="59" t="n"/>
      <c r="FR37" s="59" t="n"/>
      <c r="FS37" s="59" t="n"/>
      <c r="FT37" s="59" t="n"/>
      <c r="FU37" s="59" t="n"/>
      <c r="FV37" s="59" t="n"/>
      <c r="FW37" s="59" t="n"/>
      <c r="FX37" s="59" t="n"/>
      <c r="FY37" s="59" t="n"/>
      <c r="FZ37" s="59" t="n"/>
      <c r="GA37" s="59" t="n"/>
      <c r="GB37" s="59" t="n"/>
      <c r="GC37" s="59" t="n"/>
      <c r="GD37" s="59" t="n"/>
      <c r="GE37" s="59" t="n"/>
      <c r="GF37" s="59" t="n"/>
      <c r="GG37" s="59" t="n"/>
      <c r="GH37" s="59" t="n"/>
      <c r="GI37" s="59" t="n"/>
      <c r="GJ37" s="59" t="n"/>
      <c r="GK37" s="59" t="n"/>
      <c r="GL37" s="59" t="n"/>
      <c r="GM37" s="59" t="n"/>
      <c r="GN37" s="59" t="n"/>
      <c r="GO37" s="59" t="n"/>
      <c r="GP37" s="59" t="n"/>
      <c r="GQ37" s="59" t="n"/>
      <c r="GR37" s="59" t="n"/>
      <c r="GS37" s="59" t="n"/>
      <c r="GT37" s="59" t="n"/>
      <c r="GU37" s="59" t="n"/>
      <c r="GV37" s="59" t="n"/>
      <c r="GW37" s="59" t="n"/>
      <c r="GX37" s="59" t="n"/>
      <c r="GY37" s="59" t="n"/>
      <c r="GZ37" s="59" t="n"/>
      <c r="HA37" s="59" t="n"/>
      <c r="HB37" s="59" t="n"/>
      <c r="HC37" s="59" t="n"/>
      <c r="HD37" s="59" t="n"/>
      <c r="HE37" s="59" t="n"/>
      <c r="HF37" s="59" t="n"/>
      <c r="HG37" s="59" t="n"/>
      <c r="HH37" s="59" t="n"/>
      <c r="HI37" s="59" t="n"/>
      <c r="HJ37" s="59" t="n"/>
      <c r="HK37" s="59" t="n"/>
      <c r="HL37" s="59" t="n"/>
      <c r="HM37" s="59" t="n"/>
      <c r="HN37" s="59" t="n"/>
      <c r="HO37" s="59" t="n"/>
      <c r="HP37" s="59" t="n"/>
      <c r="HQ37" s="59" t="n"/>
      <c r="HR37" s="59" t="n"/>
      <c r="HS37" s="59" t="n"/>
      <c r="HT37" s="59" t="n"/>
      <c r="HU37" s="59" t="n"/>
      <c r="HV37" s="59" t="n"/>
      <c r="HW37" s="59" t="n"/>
      <c r="HX37" s="59" t="n"/>
      <c r="HY37" s="59" t="n"/>
      <c r="HZ37" s="59" t="n"/>
      <c r="IA37" s="59" t="n"/>
      <c r="IB37" s="59" t="n"/>
      <c r="IC37" s="59" t="n"/>
      <c r="ID37" s="59" t="n"/>
      <c r="IE37" s="59" t="n"/>
      <c r="IF37" s="59" t="n"/>
      <c r="IG37" s="59" t="n"/>
    </row>
    <row r="38">
      <c r="A38" s="181" t="n"/>
      <c r="B38" s="181" t="inlineStr">
        <is>
          <t>Annual Debt Service</t>
        </is>
      </c>
      <c r="C38" s="263">
        <f>C31*C17</f>
        <v/>
      </c>
      <c r="D38" s="181" t="n"/>
      <c r="E38" s="181" t="n"/>
      <c r="F38" s="208" t="n">
        <v>32</v>
      </c>
      <c r="G38" s="209">
        <f>$C$39</f>
        <v/>
      </c>
      <c r="H38" s="209">
        <f>(J37*$C$16)/12</f>
        <v/>
      </c>
      <c r="I38" s="209">
        <f>G38-H38</f>
        <v/>
      </c>
      <c r="J38" s="209">
        <f>J37-I38</f>
        <v/>
      </c>
      <c r="K38" s="181" t="n"/>
      <c r="L38" s="181" t="n"/>
      <c r="M38" s="958" t="n"/>
      <c r="N38" s="181" t="n"/>
      <c r="O38" s="181" t="n"/>
      <c r="P38" s="181" t="n"/>
      <c r="Q38" s="181" t="n"/>
      <c r="R38" s="181" t="n"/>
      <c r="S38" s="181" t="n"/>
      <c r="T38" s="181" t="n"/>
      <c r="U38" s="181" t="n"/>
      <c r="V38" s="181" t="n"/>
      <c r="W38" s="181" t="n"/>
      <c r="X38" s="181" t="n"/>
      <c r="Y38" s="181" t="n"/>
      <c r="Z38" s="181" t="n"/>
      <c r="AA38" s="181" t="n"/>
      <c r="AB38" s="181"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59" t="n"/>
      <c r="BZ38" s="59" t="n"/>
      <c r="CA38" s="59" t="n"/>
      <c r="CB38" s="59" t="n"/>
      <c r="CC38" s="59" t="n"/>
      <c r="CD38" s="59" t="n"/>
      <c r="CE38" s="59" t="n"/>
      <c r="CF38" s="59" t="n"/>
      <c r="CG38" s="59" t="n"/>
      <c r="CH38" s="59" t="n"/>
      <c r="CI38" s="59" t="n"/>
      <c r="CJ38" s="59" t="n"/>
      <c r="CK38" s="59" t="n"/>
      <c r="CL38" s="59" t="n"/>
      <c r="CM38" s="59" t="n"/>
      <c r="CN38" s="59" t="n"/>
      <c r="CO38" s="59" t="n"/>
      <c r="CP38" s="59" t="n"/>
      <c r="CQ38" s="59" t="n"/>
      <c r="CR38" s="59" t="n"/>
      <c r="CS38" s="59" t="n"/>
      <c r="CT38" s="59" t="n"/>
      <c r="CU38" s="59" t="n"/>
      <c r="CV38" s="59" t="n"/>
      <c r="CW38" s="59" t="n"/>
      <c r="CX38" s="59" t="n"/>
      <c r="CY38" s="59" t="n"/>
      <c r="CZ38" s="59" t="n"/>
      <c r="DA38" s="59" t="n"/>
      <c r="DB38" s="59" t="n"/>
      <c r="DC38" s="59" t="n"/>
      <c r="DD38" s="59" t="n"/>
      <c r="DE38" s="59" t="n"/>
      <c r="DF38" s="59" t="n"/>
      <c r="DG38" s="59" t="n"/>
      <c r="DH38" s="59" t="n"/>
      <c r="DI38" s="59" t="n"/>
      <c r="DJ38" s="59" t="n"/>
      <c r="DK38" s="59" t="n"/>
      <c r="DL38" s="59" t="n"/>
      <c r="DM38" s="59" t="n"/>
      <c r="DN38" s="59" t="n"/>
      <c r="DO38" s="59" t="n"/>
      <c r="DP38" s="59" t="n"/>
      <c r="DQ38" s="59" t="n"/>
      <c r="DR38" s="59" t="n"/>
      <c r="DS38" s="59" t="n"/>
      <c r="DT38" s="59" t="n"/>
      <c r="DU38" s="59" t="n"/>
      <c r="DV38" s="59" t="n"/>
      <c r="DW38" s="59" t="n"/>
      <c r="DX38" s="59" t="n"/>
      <c r="DY38" s="59" t="n"/>
      <c r="DZ38" s="59" t="n"/>
      <c r="EA38" s="59" t="n"/>
      <c r="EB38" s="59" t="n"/>
      <c r="EC38" s="59" t="n"/>
      <c r="ED38" s="59" t="n"/>
      <c r="EE38" s="59" t="n"/>
      <c r="EF38" s="59" t="n"/>
      <c r="EG38" s="59" t="n"/>
      <c r="EH38" s="59" t="n"/>
      <c r="EI38" s="59" t="n"/>
      <c r="EJ38" s="59" t="n"/>
      <c r="EK38" s="59" t="n"/>
      <c r="EL38" s="59" t="n"/>
      <c r="EM38" s="59" t="n"/>
      <c r="EN38" s="59" t="n"/>
      <c r="EO38" s="59" t="n"/>
      <c r="EP38" s="59" t="n"/>
      <c r="EQ38" s="59" t="n"/>
      <c r="ER38" s="59" t="n"/>
      <c r="ES38" s="59" t="n"/>
      <c r="ET38" s="59" t="n"/>
      <c r="EU38" s="59" t="n"/>
      <c r="EV38" s="59" t="n"/>
      <c r="EW38" s="59" t="n"/>
      <c r="EX38" s="59" t="n"/>
      <c r="EY38" s="59" t="n"/>
      <c r="EZ38" s="59" t="n"/>
      <c r="FA38" s="59" t="n"/>
      <c r="FB38" s="59" t="n"/>
      <c r="FC38" s="59" t="n"/>
      <c r="FD38" s="59" t="n"/>
      <c r="FE38" s="59" t="n"/>
      <c r="FF38" s="59" t="n"/>
      <c r="FG38" s="59" t="n"/>
      <c r="FH38" s="59" t="n"/>
      <c r="FI38" s="59" t="n"/>
      <c r="FJ38" s="59" t="n"/>
      <c r="FK38" s="59" t="n"/>
      <c r="FL38" s="59" t="n"/>
      <c r="FM38" s="59" t="n"/>
      <c r="FN38" s="59" t="n"/>
      <c r="FO38" s="59" t="n"/>
      <c r="FP38" s="59" t="n"/>
      <c r="FQ38" s="59" t="n"/>
      <c r="FR38" s="59" t="n"/>
      <c r="FS38" s="59" t="n"/>
      <c r="FT38" s="59" t="n"/>
      <c r="FU38" s="59" t="n"/>
      <c r="FV38" s="59" t="n"/>
      <c r="FW38" s="59" t="n"/>
      <c r="FX38" s="59" t="n"/>
      <c r="FY38" s="59" t="n"/>
      <c r="FZ38" s="59" t="n"/>
      <c r="GA38" s="59" t="n"/>
      <c r="GB38" s="59" t="n"/>
      <c r="GC38" s="59" t="n"/>
      <c r="GD38" s="59" t="n"/>
      <c r="GE38" s="59" t="n"/>
      <c r="GF38" s="59" t="n"/>
      <c r="GG38" s="59" t="n"/>
      <c r="GH38" s="59" t="n"/>
      <c r="GI38" s="59" t="n"/>
      <c r="GJ38" s="59" t="n"/>
      <c r="GK38" s="59" t="n"/>
      <c r="GL38" s="59" t="n"/>
      <c r="GM38" s="59" t="n"/>
      <c r="GN38" s="59" t="n"/>
      <c r="GO38" s="59" t="n"/>
      <c r="GP38" s="59" t="n"/>
      <c r="GQ38" s="59" t="n"/>
      <c r="GR38" s="59" t="n"/>
      <c r="GS38" s="59" t="n"/>
      <c r="GT38" s="59" t="n"/>
      <c r="GU38" s="59" t="n"/>
      <c r="GV38" s="59" t="n"/>
      <c r="GW38" s="59" t="n"/>
      <c r="GX38" s="59" t="n"/>
      <c r="GY38" s="59" t="n"/>
      <c r="GZ38" s="59" t="n"/>
      <c r="HA38" s="59" t="n"/>
      <c r="HB38" s="59" t="n"/>
      <c r="HC38" s="59" t="n"/>
      <c r="HD38" s="59" t="n"/>
      <c r="HE38" s="59" t="n"/>
      <c r="HF38" s="59" t="n"/>
      <c r="HG38" s="59" t="n"/>
      <c r="HH38" s="59" t="n"/>
      <c r="HI38" s="59" t="n"/>
      <c r="HJ38" s="59" t="n"/>
      <c r="HK38" s="59" t="n"/>
      <c r="HL38" s="59" t="n"/>
      <c r="HM38" s="59" t="n"/>
      <c r="HN38" s="59" t="n"/>
      <c r="HO38" s="59" t="n"/>
      <c r="HP38" s="59" t="n"/>
      <c r="HQ38" s="59" t="n"/>
      <c r="HR38" s="59" t="n"/>
      <c r="HS38" s="59" t="n"/>
      <c r="HT38" s="59" t="n"/>
      <c r="HU38" s="59" t="n"/>
      <c r="HV38" s="59" t="n"/>
      <c r="HW38" s="59" t="n"/>
      <c r="HX38" s="59" t="n"/>
      <c r="HY38" s="59" t="n"/>
      <c r="HZ38" s="59" t="n"/>
      <c r="IA38" s="59" t="n"/>
      <c r="IB38" s="59" t="n"/>
      <c r="IC38" s="59" t="n"/>
      <c r="ID38" s="59" t="n"/>
      <c r="IE38" s="59" t="n"/>
      <c r="IF38" s="59" t="n"/>
      <c r="IG38" s="59" t="n"/>
    </row>
    <row r="39">
      <c r="A39" s="181" t="n"/>
      <c r="B39" s="181" t="inlineStr">
        <is>
          <t>Monthly Debt Service</t>
        </is>
      </c>
      <c r="C39" s="270">
        <f>C38/12</f>
        <v/>
      </c>
      <c r="D39" s="181" t="n"/>
      <c r="E39" s="181" t="n"/>
      <c r="F39" s="208" t="n">
        <v>33</v>
      </c>
      <c r="G39" s="209">
        <f>$C$39</f>
        <v/>
      </c>
      <c r="H39" s="209">
        <f>(J38*$C$16)/12</f>
        <v/>
      </c>
      <c r="I39" s="209">
        <f>G39-H39</f>
        <v/>
      </c>
      <c r="J39" s="209">
        <f>J38-I39</f>
        <v/>
      </c>
      <c r="K39" s="181" t="n"/>
      <c r="L39" s="181" t="n"/>
      <c r="M39" s="181" t="n"/>
      <c r="N39" s="181" t="n"/>
      <c r="O39" s="181" t="n"/>
      <c r="P39" s="181" t="n"/>
      <c r="Q39" s="181" t="n"/>
      <c r="R39" s="181" t="n"/>
      <c r="S39" s="181" t="n"/>
      <c r="T39" s="181" t="n"/>
      <c r="U39" s="181" t="n"/>
      <c r="V39" s="181" t="n"/>
      <c r="W39" s="181" t="n"/>
      <c r="X39" s="181" t="n"/>
      <c r="Y39" s="181" t="n"/>
      <c r="Z39" s="181" t="n"/>
      <c r="AA39" s="181" t="n"/>
      <c r="AB39" s="181"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59" t="n"/>
      <c r="BZ39" s="59" t="n"/>
      <c r="CA39" s="59" t="n"/>
      <c r="CB39" s="59" t="n"/>
      <c r="CC39" s="59" t="n"/>
      <c r="CD39" s="59" t="n"/>
      <c r="CE39" s="59" t="n"/>
      <c r="CF39" s="59" t="n"/>
      <c r="CG39" s="59" t="n"/>
      <c r="CH39" s="59" t="n"/>
      <c r="CI39" s="59" t="n"/>
      <c r="CJ39" s="59" t="n"/>
      <c r="CK39" s="59" t="n"/>
      <c r="CL39" s="59" t="n"/>
      <c r="CM39" s="59" t="n"/>
      <c r="CN39" s="59" t="n"/>
      <c r="CO39" s="59" t="n"/>
      <c r="CP39" s="59" t="n"/>
      <c r="CQ39" s="59" t="n"/>
      <c r="CR39" s="59" t="n"/>
      <c r="CS39" s="59" t="n"/>
      <c r="CT39" s="59" t="n"/>
      <c r="CU39" s="59" t="n"/>
      <c r="CV39" s="59" t="n"/>
      <c r="CW39" s="59" t="n"/>
      <c r="CX39" s="59" t="n"/>
      <c r="CY39" s="59" t="n"/>
      <c r="CZ39" s="59" t="n"/>
      <c r="DA39" s="59" t="n"/>
      <c r="DB39" s="59" t="n"/>
      <c r="DC39" s="59" t="n"/>
      <c r="DD39" s="59" t="n"/>
      <c r="DE39" s="59" t="n"/>
      <c r="DF39" s="59" t="n"/>
      <c r="DG39" s="59" t="n"/>
      <c r="DH39" s="59" t="n"/>
      <c r="DI39" s="59" t="n"/>
      <c r="DJ39" s="59" t="n"/>
      <c r="DK39" s="59" t="n"/>
      <c r="DL39" s="59" t="n"/>
      <c r="DM39" s="59" t="n"/>
      <c r="DN39" s="59" t="n"/>
      <c r="DO39" s="59" t="n"/>
      <c r="DP39" s="59" t="n"/>
      <c r="DQ39" s="59" t="n"/>
      <c r="DR39" s="59" t="n"/>
      <c r="DS39" s="59" t="n"/>
      <c r="DT39" s="59" t="n"/>
      <c r="DU39" s="59" t="n"/>
      <c r="DV39" s="59" t="n"/>
      <c r="DW39" s="59" t="n"/>
      <c r="DX39" s="59" t="n"/>
      <c r="DY39" s="59" t="n"/>
      <c r="DZ39" s="59" t="n"/>
      <c r="EA39" s="59" t="n"/>
      <c r="EB39" s="59" t="n"/>
      <c r="EC39" s="59" t="n"/>
      <c r="ED39" s="59" t="n"/>
      <c r="EE39" s="59" t="n"/>
      <c r="EF39" s="59" t="n"/>
      <c r="EG39" s="59" t="n"/>
      <c r="EH39" s="59" t="n"/>
      <c r="EI39" s="59" t="n"/>
      <c r="EJ39" s="59" t="n"/>
      <c r="EK39" s="59" t="n"/>
      <c r="EL39" s="59" t="n"/>
      <c r="EM39" s="59" t="n"/>
      <c r="EN39" s="59" t="n"/>
      <c r="EO39" s="59" t="n"/>
      <c r="EP39" s="59" t="n"/>
      <c r="EQ39" s="59" t="n"/>
      <c r="ER39" s="59" t="n"/>
      <c r="ES39" s="59" t="n"/>
      <c r="ET39" s="59" t="n"/>
      <c r="EU39" s="59" t="n"/>
      <c r="EV39" s="59" t="n"/>
      <c r="EW39" s="59" t="n"/>
      <c r="EX39" s="59" t="n"/>
      <c r="EY39" s="59" t="n"/>
      <c r="EZ39" s="59" t="n"/>
      <c r="FA39" s="59" t="n"/>
      <c r="FB39" s="59" t="n"/>
      <c r="FC39" s="59" t="n"/>
      <c r="FD39" s="59" t="n"/>
      <c r="FE39" s="59" t="n"/>
      <c r="FF39" s="59" t="n"/>
      <c r="FG39" s="59" t="n"/>
      <c r="FH39" s="59" t="n"/>
      <c r="FI39" s="59" t="n"/>
      <c r="FJ39" s="59" t="n"/>
      <c r="FK39" s="59" t="n"/>
      <c r="FL39" s="59" t="n"/>
      <c r="FM39" s="59" t="n"/>
      <c r="FN39" s="59" t="n"/>
      <c r="FO39" s="59" t="n"/>
      <c r="FP39" s="59" t="n"/>
      <c r="FQ39" s="59" t="n"/>
      <c r="FR39" s="59" t="n"/>
      <c r="FS39" s="59" t="n"/>
      <c r="FT39" s="59" t="n"/>
      <c r="FU39" s="59" t="n"/>
      <c r="FV39" s="59" t="n"/>
      <c r="FW39" s="59" t="n"/>
      <c r="FX39" s="59" t="n"/>
      <c r="FY39" s="59" t="n"/>
      <c r="FZ39" s="59" t="n"/>
      <c r="GA39" s="59" t="n"/>
      <c r="GB39" s="59" t="n"/>
      <c r="GC39" s="59" t="n"/>
      <c r="GD39" s="59" t="n"/>
      <c r="GE39" s="59" t="n"/>
      <c r="GF39" s="59" t="n"/>
      <c r="GG39" s="59" t="n"/>
      <c r="GH39" s="59" t="n"/>
      <c r="GI39" s="59" t="n"/>
      <c r="GJ39" s="59" t="n"/>
      <c r="GK39" s="59" t="n"/>
      <c r="GL39" s="59" t="n"/>
      <c r="GM39" s="59" t="n"/>
      <c r="GN39" s="59" t="n"/>
      <c r="GO39" s="59" t="n"/>
      <c r="GP39" s="59" t="n"/>
      <c r="GQ39" s="59" t="n"/>
      <c r="GR39" s="59" t="n"/>
      <c r="GS39" s="59" t="n"/>
      <c r="GT39" s="59" t="n"/>
      <c r="GU39" s="59" t="n"/>
      <c r="GV39" s="59" t="n"/>
      <c r="GW39" s="59" t="n"/>
      <c r="GX39" s="59" t="n"/>
      <c r="GY39" s="59" t="n"/>
      <c r="GZ39" s="59" t="n"/>
      <c r="HA39" s="59" t="n"/>
      <c r="HB39" s="59" t="n"/>
      <c r="HC39" s="59" t="n"/>
      <c r="HD39" s="59" t="n"/>
      <c r="HE39" s="59" t="n"/>
      <c r="HF39" s="59" t="n"/>
      <c r="HG39" s="59" t="n"/>
      <c r="HH39" s="59" t="n"/>
      <c r="HI39" s="59" t="n"/>
      <c r="HJ39" s="59" t="n"/>
      <c r="HK39" s="59" t="n"/>
      <c r="HL39" s="59" t="n"/>
      <c r="HM39" s="59" t="n"/>
      <c r="HN39" s="59" t="n"/>
      <c r="HO39" s="59" t="n"/>
      <c r="HP39" s="59" t="n"/>
      <c r="HQ39" s="59" t="n"/>
      <c r="HR39" s="59" t="n"/>
      <c r="HS39" s="59" t="n"/>
      <c r="HT39" s="59" t="n"/>
      <c r="HU39" s="59" t="n"/>
      <c r="HV39" s="59" t="n"/>
      <c r="HW39" s="59" t="n"/>
      <c r="HX39" s="59" t="n"/>
      <c r="HY39" s="59" t="n"/>
      <c r="HZ39" s="59" t="n"/>
      <c r="IA39" s="59" t="n"/>
      <c r="IB39" s="59" t="n"/>
      <c r="IC39" s="59" t="n"/>
      <c r="ID39" s="59" t="n"/>
      <c r="IE39" s="59" t="n"/>
      <c r="IF39" s="59" t="n"/>
      <c r="IG39" s="59" t="n"/>
    </row>
    <row r="40">
      <c r="A40" s="181" t="n"/>
      <c r="B40" s="181" t="n"/>
      <c r="C40" s="181" t="n"/>
      <c r="D40" s="181" t="n"/>
      <c r="E40" s="181" t="n"/>
      <c r="F40" s="208" t="n">
        <v>34</v>
      </c>
      <c r="G40" s="209">
        <f>$C$39</f>
        <v/>
      </c>
      <c r="H40" s="209">
        <f>(J39*$C$16)/12</f>
        <v/>
      </c>
      <c r="I40" s="209">
        <f>G40-H40</f>
        <v/>
      </c>
      <c r="J40" s="209">
        <f>J39-I40</f>
        <v/>
      </c>
      <c r="K40" s="181" t="n"/>
      <c r="L40" s="181" t="n"/>
      <c r="M40" s="181" t="n"/>
      <c r="N40" s="181" t="n"/>
      <c r="O40" s="181" t="n"/>
      <c r="P40" s="181" t="n"/>
      <c r="Q40" s="181" t="n"/>
      <c r="R40" s="181" t="n"/>
      <c r="S40" s="181" t="n"/>
      <c r="T40" s="181" t="n"/>
      <c r="U40" s="181" t="n"/>
      <c r="V40" s="181" t="n"/>
      <c r="W40" s="181" t="n"/>
      <c r="X40" s="181" t="n"/>
      <c r="Y40" s="181" t="n"/>
      <c r="Z40" s="181" t="n"/>
      <c r="AA40" s="181" t="n"/>
      <c r="AB40" s="181"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59" t="n"/>
      <c r="BZ40" s="59" t="n"/>
      <c r="CA40" s="59" t="n"/>
      <c r="CB40" s="59" t="n"/>
      <c r="CC40" s="59" t="n"/>
      <c r="CD40" s="59" t="n"/>
      <c r="CE40" s="59" t="n"/>
      <c r="CF40" s="59" t="n"/>
      <c r="CG40" s="59" t="n"/>
      <c r="CH40" s="59" t="n"/>
      <c r="CI40" s="59" t="n"/>
      <c r="CJ40" s="59" t="n"/>
      <c r="CK40" s="59" t="n"/>
      <c r="CL40" s="59" t="n"/>
      <c r="CM40" s="59" t="n"/>
      <c r="CN40" s="59" t="n"/>
      <c r="CO40" s="59" t="n"/>
      <c r="CP40" s="59" t="n"/>
      <c r="CQ40" s="59" t="n"/>
      <c r="CR40" s="59" t="n"/>
      <c r="CS40" s="59" t="n"/>
      <c r="CT40" s="59" t="n"/>
      <c r="CU40" s="59" t="n"/>
      <c r="CV40" s="59" t="n"/>
      <c r="CW40" s="59" t="n"/>
      <c r="CX40" s="59" t="n"/>
      <c r="CY40" s="59" t="n"/>
      <c r="CZ40" s="59" t="n"/>
      <c r="DA40" s="59" t="n"/>
      <c r="DB40" s="59" t="n"/>
      <c r="DC40" s="59" t="n"/>
      <c r="DD40" s="59" t="n"/>
      <c r="DE40" s="59" t="n"/>
      <c r="DF40" s="59" t="n"/>
      <c r="DG40" s="59" t="n"/>
      <c r="DH40" s="59" t="n"/>
      <c r="DI40" s="59" t="n"/>
      <c r="DJ40" s="59" t="n"/>
      <c r="DK40" s="59" t="n"/>
      <c r="DL40" s="59" t="n"/>
      <c r="DM40" s="59" t="n"/>
      <c r="DN40" s="59" t="n"/>
      <c r="DO40" s="59" t="n"/>
      <c r="DP40" s="59" t="n"/>
      <c r="DQ40" s="59" t="n"/>
      <c r="DR40" s="59" t="n"/>
      <c r="DS40" s="59" t="n"/>
      <c r="DT40" s="59" t="n"/>
      <c r="DU40" s="59" t="n"/>
      <c r="DV40" s="59" t="n"/>
      <c r="DW40" s="59" t="n"/>
      <c r="DX40" s="59" t="n"/>
      <c r="DY40" s="59" t="n"/>
      <c r="DZ40" s="59" t="n"/>
      <c r="EA40" s="59" t="n"/>
      <c r="EB40" s="59" t="n"/>
      <c r="EC40" s="59" t="n"/>
      <c r="ED40" s="59" t="n"/>
      <c r="EE40" s="59" t="n"/>
      <c r="EF40" s="59" t="n"/>
      <c r="EG40" s="59" t="n"/>
      <c r="EH40" s="59" t="n"/>
      <c r="EI40" s="59" t="n"/>
      <c r="EJ40" s="59" t="n"/>
      <c r="EK40" s="59" t="n"/>
      <c r="EL40" s="59" t="n"/>
      <c r="EM40" s="59" t="n"/>
      <c r="EN40" s="59" t="n"/>
      <c r="EO40" s="59" t="n"/>
      <c r="EP40" s="59" t="n"/>
      <c r="EQ40" s="59" t="n"/>
      <c r="ER40" s="59" t="n"/>
      <c r="ES40" s="59" t="n"/>
      <c r="ET40" s="59" t="n"/>
      <c r="EU40" s="59" t="n"/>
      <c r="EV40" s="59" t="n"/>
      <c r="EW40" s="59" t="n"/>
      <c r="EX40" s="59" t="n"/>
      <c r="EY40" s="59" t="n"/>
      <c r="EZ40" s="59" t="n"/>
      <c r="FA40" s="59" t="n"/>
      <c r="FB40" s="59" t="n"/>
      <c r="FC40" s="59" t="n"/>
      <c r="FD40" s="59" t="n"/>
      <c r="FE40" s="59" t="n"/>
      <c r="FF40" s="59" t="n"/>
      <c r="FG40" s="59" t="n"/>
      <c r="FH40" s="59" t="n"/>
      <c r="FI40" s="59" t="n"/>
      <c r="FJ40" s="59" t="n"/>
      <c r="FK40" s="59" t="n"/>
      <c r="FL40" s="59" t="n"/>
      <c r="FM40" s="59" t="n"/>
      <c r="FN40" s="59" t="n"/>
      <c r="FO40" s="59" t="n"/>
      <c r="FP40" s="59" t="n"/>
      <c r="FQ40" s="59" t="n"/>
      <c r="FR40" s="59" t="n"/>
      <c r="FS40" s="59" t="n"/>
      <c r="FT40" s="59" t="n"/>
      <c r="FU40" s="59" t="n"/>
      <c r="FV40" s="59" t="n"/>
      <c r="FW40" s="59" t="n"/>
      <c r="FX40" s="59" t="n"/>
      <c r="FY40" s="59" t="n"/>
      <c r="FZ40" s="59" t="n"/>
      <c r="GA40" s="59" t="n"/>
      <c r="GB40" s="59" t="n"/>
      <c r="GC40" s="59" t="n"/>
      <c r="GD40" s="59" t="n"/>
      <c r="GE40" s="59" t="n"/>
      <c r="GF40" s="59" t="n"/>
      <c r="GG40" s="59" t="n"/>
      <c r="GH40" s="59" t="n"/>
      <c r="GI40" s="59" t="n"/>
      <c r="GJ40" s="59" t="n"/>
      <c r="GK40" s="59" t="n"/>
      <c r="GL40" s="59" t="n"/>
      <c r="GM40" s="59" t="n"/>
      <c r="GN40" s="59" t="n"/>
      <c r="GO40" s="59" t="n"/>
      <c r="GP40" s="59" t="n"/>
      <c r="GQ40" s="59" t="n"/>
      <c r="GR40" s="59" t="n"/>
      <c r="GS40" s="59" t="n"/>
      <c r="GT40" s="59" t="n"/>
      <c r="GU40" s="59" t="n"/>
      <c r="GV40" s="59" t="n"/>
      <c r="GW40" s="59" t="n"/>
      <c r="GX40" s="59" t="n"/>
      <c r="GY40" s="59" t="n"/>
      <c r="GZ40" s="59" t="n"/>
      <c r="HA40" s="59" t="n"/>
      <c r="HB40" s="59" t="n"/>
      <c r="HC40" s="59" t="n"/>
      <c r="HD40" s="59" t="n"/>
      <c r="HE40" s="59" t="n"/>
      <c r="HF40" s="59" t="n"/>
      <c r="HG40" s="59" t="n"/>
      <c r="HH40" s="59" t="n"/>
      <c r="HI40" s="59" t="n"/>
      <c r="HJ40" s="59" t="n"/>
      <c r="HK40" s="59" t="n"/>
      <c r="HL40" s="59" t="n"/>
      <c r="HM40" s="59" t="n"/>
      <c r="HN40" s="59" t="n"/>
      <c r="HO40" s="59" t="n"/>
      <c r="HP40" s="59" t="n"/>
      <c r="HQ40" s="59" t="n"/>
      <c r="HR40" s="59" t="n"/>
      <c r="HS40" s="59" t="n"/>
      <c r="HT40" s="59" t="n"/>
      <c r="HU40" s="59" t="n"/>
      <c r="HV40" s="59" t="n"/>
      <c r="HW40" s="59" t="n"/>
      <c r="HX40" s="59" t="n"/>
      <c r="HY40" s="59" t="n"/>
      <c r="HZ40" s="59" t="n"/>
      <c r="IA40" s="59" t="n"/>
      <c r="IB40" s="59" t="n"/>
      <c r="IC40" s="59" t="n"/>
      <c r="ID40" s="59" t="n"/>
      <c r="IE40" s="59" t="n"/>
      <c r="IF40" s="59" t="n"/>
      <c r="IG40" s="59" t="n"/>
    </row>
    <row r="41">
      <c r="A41" s="181" t="n"/>
      <c r="B41" s="181" t="n"/>
      <c r="C41" s="181" t="n"/>
      <c r="D41" s="181" t="n"/>
      <c r="E41" s="181" t="n"/>
      <c r="F41" s="208" t="n">
        <v>35</v>
      </c>
      <c r="G41" s="209">
        <f>$C$39</f>
        <v/>
      </c>
      <c r="H41" s="209">
        <f>(J40*$C$16)/12</f>
        <v/>
      </c>
      <c r="I41" s="209">
        <f>G41-H41</f>
        <v/>
      </c>
      <c r="J41" s="209">
        <f>J40-I41</f>
        <v/>
      </c>
      <c r="K41" s="181" t="n"/>
      <c r="L41" s="181" t="n"/>
      <c r="M41" s="181" t="n"/>
      <c r="N41" s="181" t="n"/>
      <c r="O41" s="181" t="n"/>
      <c r="P41" s="181" t="n"/>
      <c r="Q41" s="181" t="n"/>
      <c r="R41" s="181" t="n"/>
      <c r="S41" s="181" t="n"/>
      <c r="T41" s="181" t="n"/>
      <c r="U41" s="181" t="n"/>
      <c r="V41" s="181" t="n"/>
      <c r="W41" s="181" t="n"/>
      <c r="X41" s="181" t="n"/>
      <c r="Y41" s="181" t="n"/>
      <c r="Z41" s="181" t="n"/>
      <c r="AA41" s="181" t="n"/>
      <c r="AB41" s="181"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59" t="n"/>
      <c r="BZ41" s="59" t="n"/>
      <c r="CA41" s="59" t="n"/>
      <c r="CB41" s="59" t="n"/>
      <c r="CC41" s="59" t="n"/>
      <c r="CD41" s="59" t="n"/>
      <c r="CE41" s="59" t="n"/>
      <c r="CF41" s="59" t="n"/>
      <c r="CG41" s="59" t="n"/>
      <c r="CH41" s="59" t="n"/>
      <c r="CI41" s="59" t="n"/>
      <c r="CJ41" s="59" t="n"/>
      <c r="CK41" s="59" t="n"/>
      <c r="CL41" s="59" t="n"/>
      <c r="CM41" s="59" t="n"/>
      <c r="CN41" s="59" t="n"/>
      <c r="CO41" s="59" t="n"/>
      <c r="CP41" s="59" t="n"/>
      <c r="CQ41" s="59" t="n"/>
      <c r="CR41" s="59" t="n"/>
      <c r="CS41" s="59" t="n"/>
      <c r="CT41" s="59" t="n"/>
      <c r="CU41" s="59" t="n"/>
      <c r="CV41" s="59" t="n"/>
      <c r="CW41" s="59" t="n"/>
      <c r="CX41" s="59" t="n"/>
      <c r="CY41" s="59" t="n"/>
      <c r="CZ41" s="59" t="n"/>
      <c r="DA41" s="59" t="n"/>
      <c r="DB41" s="59" t="n"/>
      <c r="DC41" s="59" t="n"/>
      <c r="DD41" s="59" t="n"/>
      <c r="DE41" s="59" t="n"/>
      <c r="DF41" s="59" t="n"/>
      <c r="DG41" s="59" t="n"/>
      <c r="DH41" s="59" t="n"/>
      <c r="DI41" s="59" t="n"/>
      <c r="DJ41" s="59" t="n"/>
      <c r="DK41" s="59" t="n"/>
      <c r="DL41" s="59" t="n"/>
      <c r="DM41" s="59" t="n"/>
      <c r="DN41" s="59" t="n"/>
      <c r="DO41" s="59" t="n"/>
      <c r="DP41" s="59" t="n"/>
      <c r="DQ41" s="59" t="n"/>
      <c r="DR41" s="59" t="n"/>
      <c r="DS41" s="59" t="n"/>
      <c r="DT41" s="59" t="n"/>
      <c r="DU41" s="59" t="n"/>
      <c r="DV41" s="59" t="n"/>
      <c r="DW41" s="59" t="n"/>
      <c r="DX41" s="59" t="n"/>
      <c r="DY41" s="59" t="n"/>
      <c r="DZ41" s="59" t="n"/>
      <c r="EA41" s="59" t="n"/>
      <c r="EB41" s="59" t="n"/>
      <c r="EC41" s="59" t="n"/>
      <c r="ED41" s="59" t="n"/>
      <c r="EE41" s="59" t="n"/>
      <c r="EF41" s="59" t="n"/>
      <c r="EG41" s="59" t="n"/>
      <c r="EH41" s="59" t="n"/>
      <c r="EI41" s="59" t="n"/>
      <c r="EJ41" s="59" t="n"/>
      <c r="EK41" s="59" t="n"/>
      <c r="EL41" s="59" t="n"/>
      <c r="EM41" s="59" t="n"/>
      <c r="EN41" s="59" t="n"/>
      <c r="EO41" s="59" t="n"/>
      <c r="EP41" s="59" t="n"/>
      <c r="EQ41" s="59" t="n"/>
      <c r="ER41" s="59" t="n"/>
      <c r="ES41" s="59" t="n"/>
      <c r="ET41" s="59" t="n"/>
      <c r="EU41" s="59" t="n"/>
      <c r="EV41" s="59" t="n"/>
      <c r="EW41" s="59" t="n"/>
      <c r="EX41" s="59" t="n"/>
      <c r="EY41" s="59" t="n"/>
      <c r="EZ41" s="59" t="n"/>
      <c r="FA41" s="59" t="n"/>
      <c r="FB41" s="59" t="n"/>
      <c r="FC41" s="59" t="n"/>
      <c r="FD41" s="59" t="n"/>
      <c r="FE41" s="59" t="n"/>
      <c r="FF41" s="59" t="n"/>
      <c r="FG41" s="59" t="n"/>
      <c r="FH41" s="59" t="n"/>
      <c r="FI41" s="59" t="n"/>
      <c r="FJ41" s="59" t="n"/>
      <c r="FK41" s="59" t="n"/>
      <c r="FL41" s="59" t="n"/>
      <c r="FM41" s="59" t="n"/>
      <c r="FN41" s="59" t="n"/>
      <c r="FO41" s="59" t="n"/>
      <c r="FP41" s="59" t="n"/>
      <c r="FQ41" s="59" t="n"/>
      <c r="FR41" s="59" t="n"/>
      <c r="FS41" s="59" t="n"/>
      <c r="FT41" s="59" t="n"/>
      <c r="FU41" s="59" t="n"/>
      <c r="FV41" s="59" t="n"/>
      <c r="FW41" s="59" t="n"/>
      <c r="FX41" s="59" t="n"/>
      <c r="FY41" s="59" t="n"/>
      <c r="FZ41" s="59" t="n"/>
      <c r="GA41" s="59" t="n"/>
      <c r="GB41" s="59" t="n"/>
      <c r="GC41" s="59" t="n"/>
      <c r="GD41" s="59" t="n"/>
      <c r="GE41" s="59" t="n"/>
      <c r="GF41" s="59" t="n"/>
      <c r="GG41" s="59" t="n"/>
      <c r="GH41" s="59" t="n"/>
      <c r="GI41" s="59" t="n"/>
      <c r="GJ41" s="59" t="n"/>
      <c r="GK41" s="59" t="n"/>
      <c r="GL41" s="59" t="n"/>
      <c r="GM41" s="59" t="n"/>
      <c r="GN41" s="59" t="n"/>
      <c r="GO41" s="59" t="n"/>
      <c r="GP41" s="59" t="n"/>
      <c r="GQ41" s="59" t="n"/>
      <c r="GR41" s="59" t="n"/>
      <c r="GS41" s="59" t="n"/>
      <c r="GT41" s="59" t="n"/>
      <c r="GU41" s="59" t="n"/>
      <c r="GV41" s="59" t="n"/>
      <c r="GW41" s="59" t="n"/>
      <c r="GX41" s="59" t="n"/>
      <c r="GY41" s="59" t="n"/>
      <c r="GZ41" s="59" t="n"/>
      <c r="HA41" s="59" t="n"/>
      <c r="HB41" s="59" t="n"/>
      <c r="HC41" s="59" t="n"/>
      <c r="HD41" s="59" t="n"/>
      <c r="HE41" s="59" t="n"/>
      <c r="HF41" s="59" t="n"/>
      <c r="HG41" s="59" t="n"/>
      <c r="HH41" s="59" t="n"/>
      <c r="HI41" s="59" t="n"/>
      <c r="HJ41" s="59" t="n"/>
      <c r="HK41" s="59" t="n"/>
      <c r="HL41" s="59" t="n"/>
      <c r="HM41" s="59" t="n"/>
      <c r="HN41" s="59" t="n"/>
      <c r="HO41" s="59" t="n"/>
      <c r="HP41" s="59" t="n"/>
      <c r="HQ41" s="59" t="n"/>
      <c r="HR41" s="59" t="n"/>
      <c r="HS41" s="59" t="n"/>
      <c r="HT41" s="59" t="n"/>
      <c r="HU41" s="59" t="n"/>
      <c r="HV41" s="59" t="n"/>
      <c r="HW41" s="59" t="n"/>
      <c r="HX41" s="59" t="n"/>
      <c r="HY41" s="59" t="n"/>
      <c r="HZ41" s="59" t="n"/>
      <c r="IA41" s="59" t="n"/>
      <c r="IB41" s="59" t="n"/>
      <c r="IC41" s="59" t="n"/>
      <c r="ID41" s="59" t="n"/>
      <c r="IE41" s="59" t="n"/>
      <c r="IF41" s="59" t="n"/>
      <c r="IG41" s="59" t="n"/>
    </row>
    <row r="42">
      <c r="A42" s="181" t="n"/>
      <c r="B42" s="181" t="n"/>
      <c r="C42" s="181" t="n"/>
      <c r="D42" s="181" t="n"/>
      <c r="E42" s="181" t="n"/>
      <c r="F42" s="491" t="n">
        <v>36</v>
      </c>
      <c r="G42" s="492">
        <f>$C$39</f>
        <v/>
      </c>
      <c r="H42" s="492">
        <f>(J41*$C$16)/12</f>
        <v/>
      </c>
      <c r="I42" s="492">
        <f>G42-H42</f>
        <v/>
      </c>
      <c r="J42" s="492">
        <f>J41-I42</f>
        <v/>
      </c>
      <c r="K42" s="181" t="n"/>
      <c r="L42" s="181" t="n"/>
      <c r="M42" s="181" t="n"/>
      <c r="N42" s="181" t="n"/>
      <c r="O42" s="181" t="n"/>
      <c r="P42" s="181" t="n"/>
      <c r="Q42" s="181" t="n"/>
      <c r="R42" s="181" t="n"/>
      <c r="S42" s="181" t="n"/>
      <c r="T42" s="181" t="n"/>
      <c r="U42" s="181" t="n"/>
      <c r="V42" s="181" t="n"/>
      <c r="W42" s="181" t="n"/>
      <c r="X42" s="181" t="n"/>
      <c r="Y42" s="181" t="n"/>
      <c r="Z42" s="181" t="n"/>
      <c r="AA42" s="181" t="n"/>
      <c r="AB42" s="181"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59" t="n"/>
      <c r="BZ42" s="59" t="n"/>
      <c r="CA42" s="59" t="n"/>
      <c r="CB42" s="59" t="n"/>
      <c r="CC42" s="59" t="n"/>
      <c r="CD42" s="59" t="n"/>
      <c r="CE42" s="59" t="n"/>
      <c r="CF42" s="59" t="n"/>
      <c r="CG42" s="59" t="n"/>
      <c r="CH42" s="59" t="n"/>
      <c r="CI42" s="59" t="n"/>
      <c r="CJ42" s="59" t="n"/>
      <c r="CK42" s="59" t="n"/>
      <c r="CL42" s="59" t="n"/>
      <c r="CM42" s="59" t="n"/>
      <c r="CN42" s="59" t="n"/>
      <c r="CO42" s="59" t="n"/>
      <c r="CP42" s="59" t="n"/>
      <c r="CQ42" s="59" t="n"/>
      <c r="CR42" s="59" t="n"/>
      <c r="CS42" s="59" t="n"/>
      <c r="CT42" s="59" t="n"/>
      <c r="CU42" s="59" t="n"/>
      <c r="CV42" s="59" t="n"/>
      <c r="CW42" s="59" t="n"/>
      <c r="CX42" s="59" t="n"/>
      <c r="CY42" s="59" t="n"/>
      <c r="CZ42" s="59" t="n"/>
      <c r="DA42" s="59" t="n"/>
      <c r="DB42" s="59" t="n"/>
      <c r="DC42" s="59" t="n"/>
      <c r="DD42" s="59" t="n"/>
      <c r="DE42" s="59" t="n"/>
      <c r="DF42" s="59" t="n"/>
      <c r="DG42" s="59" t="n"/>
      <c r="DH42" s="59" t="n"/>
      <c r="DI42" s="59" t="n"/>
      <c r="DJ42" s="59" t="n"/>
      <c r="DK42" s="59" t="n"/>
      <c r="DL42" s="59" t="n"/>
      <c r="DM42" s="59" t="n"/>
      <c r="DN42" s="59" t="n"/>
      <c r="DO42" s="59" t="n"/>
      <c r="DP42" s="59" t="n"/>
      <c r="DQ42" s="59" t="n"/>
      <c r="DR42" s="59" t="n"/>
      <c r="DS42" s="59" t="n"/>
      <c r="DT42" s="59" t="n"/>
      <c r="DU42" s="59" t="n"/>
      <c r="DV42" s="59" t="n"/>
      <c r="DW42" s="59" t="n"/>
      <c r="DX42" s="59" t="n"/>
      <c r="DY42" s="59" t="n"/>
      <c r="DZ42" s="59" t="n"/>
      <c r="EA42" s="59" t="n"/>
      <c r="EB42" s="59" t="n"/>
      <c r="EC42" s="59" t="n"/>
      <c r="ED42" s="59" t="n"/>
      <c r="EE42" s="59" t="n"/>
      <c r="EF42" s="59" t="n"/>
      <c r="EG42" s="59" t="n"/>
      <c r="EH42" s="59" t="n"/>
      <c r="EI42" s="59" t="n"/>
      <c r="EJ42" s="59" t="n"/>
      <c r="EK42" s="59" t="n"/>
      <c r="EL42" s="59" t="n"/>
      <c r="EM42" s="59" t="n"/>
      <c r="EN42" s="59" t="n"/>
      <c r="EO42" s="59" t="n"/>
      <c r="EP42" s="59" t="n"/>
      <c r="EQ42" s="59" t="n"/>
      <c r="ER42" s="59" t="n"/>
      <c r="ES42" s="59" t="n"/>
      <c r="ET42" s="59" t="n"/>
      <c r="EU42" s="59" t="n"/>
      <c r="EV42" s="59" t="n"/>
      <c r="EW42" s="59" t="n"/>
      <c r="EX42" s="59" t="n"/>
      <c r="EY42" s="59" t="n"/>
      <c r="EZ42" s="59" t="n"/>
      <c r="FA42" s="59" t="n"/>
      <c r="FB42" s="59" t="n"/>
      <c r="FC42" s="59" t="n"/>
      <c r="FD42" s="59" t="n"/>
      <c r="FE42" s="59" t="n"/>
      <c r="FF42" s="59" t="n"/>
      <c r="FG42" s="59" t="n"/>
      <c r="FH42" s="59" t="n"/>
      <c r="FI42" s="59" t="n"/>
      <c r="FJ42" s="59" t="n"/>
      <c r="FK42" s="59" t="n"/>
      <c r="FL42" s="59" t="n"/>
      <c r="FM42" s="59" t="n"/>
      <c r="FN42" s="59" t="n"/>
      <c r="FO42" s="59" t="n"/>
      <c r="FP42" s="59" t="n"/>
      <c r="FQ42" s="59" t="n"/>
      <c r="FR42" s="59" t="n"/>
      <c r="FS42" s="59" t="n"/>
      <c r="FT42" s="59" t="n"/>
      <c r="FU42" s="59" t="n"/>
      <c r="FV42" s="59" t="n"/>
      <c r="FW42" s="59" t="n"/>
      <c r="FX42" s="59" t="n"/>
      <c r="FY42" s="59" t="n"/>
      <c r="FZ42" s="59" t="n"/>
      <c r="GA42" s="59" t="n"/>
      <c r="GB42" s="59" t="n"/>
      <c r="GC42" s="59" t="n"/>
      <c r="GD42" s="59" t="n"/>
      <c r="GE42" s="59" t="n"/>
      <c r="GF42" s="59" t="n"/>
      <c r="GG42" s="59" t="n"/>
      <c r="GH42" s="59" t="n"/>
      <c r="GI42" s="59" t="n"/>
      <c r="GJ42" s="59" t="n"/>
      <c r="GK42" s="59" t="n"/>
      <c r="GL42" s="59" t="n"/>
      <c r="GM42" s="59" t="n"/>
      <c r="GN42" s="59" t="n"/>
      <c r="GO42" s="59" t="n"/>
      <c r="GP42" s="59" t="n"/>
      <c r="GQ42" s="59" t="n"/>
      <c r="GR42" s="59" t="n"/>
      <c r="GS42" s="59" t="n"/>
      <c r="GT42" s="59" t="n"/>
      <c r="GU42" s="59" t="n"/>
      <c r="GV42" s="59" t="n"/>
      <c r="GW42" s="59" t="n"/>
      <c r="GX42" s="59" t="n"/>
      <c r="GY42" s="59" t="n"/>
      <c r="GZ42" s="59" t="n"/>
      <c r="HA42" s="59" t="n"/>
      <c r="HB42" s="59" t="n"/>
      <c r="HC42" s="59" t="n"/>
      <c r="HD42" s="59" t="n"/>
      <c r="HE42" s="59" t="n"/>
      <c r="HF42" s="59" t="n"/>
      <c r="HG42" s="59" t="n"/>
      <c r="HH42" s="59" t="n"/>
      <c r="HI42" s="59" t="n"/>
      <c r="HJ42" s="59" t="n"/>
      <c r="HK42" s="59" t="n"/>
      <c r="HL42" s="59" t="n"/>
      <c r="HM42" s="59" t="n"/>
      <c r="HN42" s="59" t="n"/>
      <c r="HO42" s="59" t="n"/>
      <c r="HP42" s="59" t="n"/>
      <c r="HQ42" s="59" t="n"/>
      <c r="HR42" s="59" t="n"/>
      <c r="HS42" s="59" t="n"/>
      <c r="HT42" s="59" t="n"/>
      <c r="HU42" s="59" t="n"/>
      <c r="HV42" s="59" t="n"/>
      <c r="HW42" s="59" t="n"/>
      <c r="HX42" s="59" t="n"/>
      <c r="HY42" s="59" t="n"/>
      <c r="HZ42" s="59" t="n"/>
      <c r="IA42" s="59" t="n"/>
      <c r="IB42" s="59" t="n"/>
      <c r="IC42" s="59" t="n"/>
      <c r="ID42" s="59" t="n"/>
      <c r="IE42" s="59" t="n"/>
      <c r="IF42" s="59" t="n"/>
      <c r="IG42" s="59" t="n"/>
    </row>
    <row r="43">
      <c r="A43" s="181" t="n"/>
      <c r="B43" s="181" t="n"/>
      <c r="C43" s="181" t="n"/>
      <c r="D43" s="181" t="n"/>
      <c r="E43" s="181" t="n"/>
      <c r="F43" s="208" t="n">
        <v>37</v>
      </c>
      <c r="G43" s="209">
        <f>$C$39</f>
        <v/>
      </c>
      <c r="H43" s="209">
        <f>(J42*$C$16)/12</f>
        <v/>
      </c>
      <c r="I43" s="209">
        <f>G43-H43</f>
        <v/>
      </c>
      <c r="J43" s="209">
        <f>J42-I43</f>
        <v/>
      </c>
      <c r="K43" s="181" t="n"/>
      <c r="L43" s="181" t="n"/>
      <c r="M43" s="181" t="n"/>
      <c r="N43" s="181" t="n"/>
      <c r="O43" s="181" t="n"/>
      <c r="P43" s="181" t="n"/>
      <c r="Q43" s="181" t="n"/>
      <c r="R43" s="181" t="n"/>
      <c r="S43" s="181" t="n"/>
      <c r="T43" s="181" t="n"/>
      <c r="U43" s="181" t="n"/>
      <c r="V43" s="181" t="n"/>
      <c r="W43" s="181" t="n"/>
      <c r="X43" s="181" t="n"/>
      <c r="Y43" s="181" t="n"/>
      <c r="Z43" s="181" t="n"/>
      <c r="AA43" s="181" t="n"/>
      <c r="AB43" s="181"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59" t="n"/>
      <c r="BZ43" s="59" t="n"/>
      <c r="CA43" s="59" t="n"/>
      <c r="CB43" s="59" t="n"/>
      <c r="CC43" s="59" t="n"/>
      <c r="CD43" s="59" t="n"/>
      <c r="CE43" s="59" t="n"/>
      <c r="CF43" s="59" t="n"/>
      <c r="CG43" s="59" t="n"/>
      <c r="CH43" s="59" t="n"/>
      <c r="CI43" s="59" t="n"/>
      <c r="CJ43" s="59" t="n"/>
      <c r="CK43" s="59" t="n"/>
      <c r="CL43" s="59" t="n"/>
      <c r="CM43" s="59" t="n"/>
      <c r="CN43" s="59" t="n"/>
      <c r="CO43" s="59" t="n"/>
      <c r="CP43" s="59" t="n"/>
      <c r="CQ43" s="59" t="n"/>
      <c r="CR43" s="59" t="n"/>
      <c r="CS43" s="59" t="n"/>
      <c r="CT43" s="59" t="n"/>
      <c r="CU43" s="59" t="n"/>
      <c r="CV43" s="59" t="n"/>
      <c r="CW43" s="59" t="n"/>
      <c r="CX43" s="59" t="n"/>
      <c r="CY43" s="59" t="n"/>
      <c r="CZ43" s="59" t="n"/>
      <c r="DA43" s="59" t="n"/>
      <c r="DB43" s="59" t="n"/>
      <c r="DC43" s="59" t="n"/>
      <c r="DD43" s="59" t="n"/>
      <c r="DE43" s="59" t="n"/>
      <c r="DF43" s="59" t="n"/>
      <c r="DG43" s="59" t="n"/>
      <c r="DH43" s="59" t="n"/>
      <c r="DI43" s="59" t="n"/>
      <c r="DJ43" s="59" t="n"/>
      <c r="DK43" s="59" t="n"/>
      <c r="DL43" s="59" t="n"/>
      <c r="DM43" s="59" t="n"/>
      <c r="DN43" s="59" t="n"/>
      <c r="DO43" s="59" t="n"/>
      <c r="DP43" s="59" t="n"/>
      <c r="DQ43" s="59" t="n"/>
      <c r="DR43" s="59" t="n"/>
      <c r="DS43" s="59" t="n"/>
      <c r="DT43" s="59" t="n"/>
      <c r="DU43" s="59" t="n"/>
      <c r="DV43" s="59" t="n"/>
      <c r="DW43" s="59" t="n"/>
      <c r="DX43" s="59" t="n"/>
      <c r="DY43" s="59" t="n"/>
      <c r="DZ43" s="59" t="n"/>
      <c r="EA43" s="59" t="n"/>
      <c r="EB43" s="59" t="n"/>
      <c r="EC43" s="59" t="n"/>
      <c r="ED43" s="59" t="n"/>
      <c r="EE43" s="59" t="n"/>
      <c r="EF43" s="59" t="n"/>
      <c r="EG43" s="59" t="n"/>
      <c r="EH43" s="59" t="n"/>
      <c r="EI43" s="59" t="n"/>
      <c r="EJ43" s="59" t="n"/>
      <c r="EK43" s="59" t="n"/>
      <c r="EL43" s="59" t="n"/>
      <c r="EM43" s="59" t="n"/>
      <c r="EN43" s="59" t="n"/>
      <c r="EO43" s="59" t="n"/>
      <c r="EP43" s="59" t="n"/>
      <c r="EQ43" s="59" t="n"/>
      <c r="ER43" s="59" t="n"/>
      <c r="ES43" s="59" t="n"/>
      <c r="ET43" s="59" t="n"/>
      <c r="EU43" s="59" t="n"/>
      <c r="EV43" s="59" t="n"/>
      <c r="EW43" s="59" t="n"/>
      <c r="EX43" s="59" t="n"/>
      <c r="EY43" s="59" t="n"/>
      <c r="EZ43" s="59" t="n"/>
      <c r="FA43" s="59" t="n"/>
      <c r="FB43" s="59" t="n"/>
      <c r="FC43" s="59" t="n"/>
      <c r="FD43" s="59" t="n"/>
      <c r="FE43" s="59" t="n"/>
      <c r="FF43" s="59" t="n"/>
      <c r="FG43" s="59" t="n"/>
      <c r="FH43" s="59" t="n"/>
      <c r="FI43" s="59" t="n"/>
      <c r="FJ43" s="59" t="n"/>
      <c r="FK43" s="59" t="n"/>
      <c r="FL43" s="59" t="n"/>
      <c r="FM43" s="59" t="n"/>
      <c r="FN43" s="59" t="n"/>
      <c r="FO43" s="59" t="n"/>
      <c r="FP43" s="59" t="n"/>
      <c r="FQ43" s="59" t="n"/>
      <c r="FR43" s="59" t="n"/>
      <c r="FS43" s="59" t="n"/>
      <c r="FT43" s="59" t="n"/>
      <c r="FU43" s="59" t="n"/>
      <c r="FV43" s="59" t="n"/>
      <c r="FW43" s="59" t="n"/>
      <c r="FX43" s="59" t="n"/>
      <c r="FY43" s="59" t="n"/>
      <c r="FZ43" s="59" t="n"/>
      <c r="GA43" s="59" t="n"/>
      <c r="GB43" s="59" t="n"/>
      <c r="GC43" s="59" t="n"/>
      <c r="GD43" s="59" t="n"/>
      <c r="GE43" s="59" t="n"/>
      <c r="GF43" s="59" t="n"/>
      <c r="GG43" s="59" t="n"/>
      <c r="GH43" s="59" t="n"/>
      <c r="GI43" s="59" t="n"/>
      <c r="GJ43" s="59" t="n"/>
      <c r="GK43" s="59" t="n"/>
      <c r="GL43" s="59" t="n"/>
      <c r="GM43" s="59" t="n"/>
      <c r="GN43" s="59" t="n"/>
      <c r="GO43" s="59" t="n"/>
      <c r="GP43" s="59" t="n"/>
      <c r="GQ43" s="59" t="n"/>
      <c r="GR43" s="59" t="n"/>
      <c r="GS43" s="59" t="n"/>
      <c r="GT43" s="59" t="n"/>
      <c r="GU43" s="59" t="n"/>
      <c r="GV43" s="59" t="n"/>
      <c r="GW43" s="59" t="n"/>
      <c r="GX43" s="59" t="n"/>
      <c r="GY43" s="59" t="n"/>
      <c r="GZ43" s="59" t="n"/>
      <c r="HA43" s="59" t="n"/>
      <c r="HB43" s="59" t="n"/>
      <c r="HC43" s="59" t="n"/>
      <c r="HD43" s="59" t="n"/>
      <c r="HE43" s="59" t="n"/>
      <c r="HF43" s="59" t="n"/>
      <c r="HG43" s="59" t="n"/>
      <c r="HH43" s="59" t="n"/>
      <c r="HI43" s="59" t="n"/>
      <c r="HJ43" s="59" t="n"/>
      <c r="HK43" s="59" t="n"/>
      <c r="HL43" s="59" t="n"/>
      <c r="HM43" s="59" t="n"/>
      <c r="HN43" s="59" t="n"/>
      <c r="HO43" s="59" t="n"/>
      <c r="HP43" s="59" t="n"/>
      <c r="HQ43" s="59" t="n"/>
      <c r="HR43" s="59" t="n"/>
      <c r="HS43" s="59" t="n"/>
      <c r="HT43" s="59" t="n"/>
      <c r="HU43" s="59" t="n"/>
      <c r="HV43" s="59" t="n"/>
      <c r="HW43" s="59" t="n"/>
      <c r="HX43" s="59" t="n"/>
      <c r="HY43" s="59" t="n"/>
      <c r="HZ43" s="59" t="n"/>
      <c r="IA43" s="59" t="n"/>
      <c r="IB43" s="59" t="n"/>
      <c r="IC43" s="59" t="n"/>
      <c r="ID43" s="59" t="n"/>
      <c r="IE43" s="59" t="n"/>
      <c r="IF43" s="59" t="n"/>
      <c r="IG43" s="59" t="n"/>
    </row>
    <row r="44">
      <c r="A44" s="181" t="n"/>
      <c r="B44" s="181" t="n"/>
      <c r="C44" s="181" t="n"/>
      <c r="D44" s="181" t="n"/>
      <c r="E44" s="181" t="n"/>
      <c r="F44" s="208" t="n">
        <v>38</v>
      </c>
      <c r="G44" s="209">
        <f>$C$39</f>
        <v/>
      </c>
      <c r="H44" s="209">
        <f>(J43*$C$16)/12</f>
        <v/>
      </c>
      <c r="I44" s="209">
        <f>G44-H44</f>
        <v/>
      </c>
      <c r="J44" s="209">
        <f>J43-I44</f>
        <v/>
      </c>
      <c r="K44" s="181" t="n"/>
      <c r="L44" s="181" t="n"/>
      <c r="M44" s="181" t="n"/>
      <c r="N44" s="181" t="n"/>
      <c r="O44" s="181" t="n"/>
      <c r="P44" s="181" t="n"/>
      <c r="Q44" s="181" t="n"/>
      <c r="R44" s="181" t="n"/>
      <c r="S44" s="181" t="n"/>
      <c r="T44" s="181" t="n"/>
      <c r="U44" s="181" t="n"/>
      <c r="V44" s="181" t="n"/>
      <c r="W44" s="181" t="n"/>
      <c r="X44" s="181" t="n"/>
      <c r="Y44" s="181" t="n"/>
      <c r="Z44" s="181" t="n"/>
      <c r="AA44" s="181" t="n"/>
      <c r="AB44" s="181"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59" t="n"/>
      <c r="BZ44" s="59" t="n"/>
      <c r="CA44" s="59" t="n"/>
      <c r="CB44" s="59" t="n"/>
      <c r="CC44" s="59" t="n"/>
      <c r="CD44" s="59" t="n"/>
      <c r="CE44" s="59" t="n"/>
      <c r="CF44" s="59" t="n"/>
      <c r="CG44" s="59" t="n"/>
      <c r="CH44" s="59" t="n"/>
      <c r="CI44" s="59" t="n"/>
      <c r="CJ44" s="59" t="n"/>
      <c r="CK44" s="59" t="n"/>
      <c r="CL44" s="59" t="n"/>
      <c r="CM44" s="59" t="n"/>
      <c r="CN44" s="59" t="n"/>
      <c r="CO44" s="59" t="n"/>
      <c r="CP44" s="59" t="n"/>
      <c r="CQ44" s="59" t="n"/>
      <c r="CR44" s="59" t="n"/>
      <c r="CS44" s="59" t="n"/>
      <c r="CT44" s="59" t="n"/>
      <c r="CU44" s="59" t="n"/>
      <c r="CV44" s="59" t="n"/>
      <c r="CW44" s="59" t="n"/>
      <c r="CX44" s="59" t="n"/>
      <c r="CY44" s="59" t="n"/>
      <c r="CZ44" s="59" t="n"/>
      <c r="DA44" s="59" t="n"/>
      <c r="DB44" s="59" t="n"/>
      <c r="DC44" s="59" t="n"/>
      <c r="DD44" s="59" t="n"/>
      <c r="DE44" s="59" t="n"/>
      <c r="DF44" s="59" t="n"/>
      <c r="DG44" s="59" t="n"/>
      <c r="DH44" s="59" t="n"/>
      <c r="DI44" s="59" t="n"/>
      <c r="DJ44" s="59" t="n"/>
      <c r="DK44" s="59" t="n"/>
      <c r="DL44" s="59" t="n"/>
      <c r="DM44" s="59" t="n"/>
      <c r="DN44" s="59" t="n"/>
      <c r="DO44" s="59" t="n"/>
      <c r="DP44" s="59" t="n"/>
      <c r="DQ44" s="59" t="n"/>
      <c r="DR44" s="59" t="n"/>
      <c r="DS44" s="59" t="n"/>
      <c r="DT44" s="59" t="n"/>
      <c r="DU44" s="59" t="n"/>
      <c r="DV44" s="59" t="n"/>
      <c r="DW44" s="59" t="n"/>
      <c r="DX44" s="59" t="n"/>
      <c r="DY44" s="59" t="n"/>
      <c r="DZ44" s="59" t="n"/>
      <c r="EA44" s="59" t="n"/>
      <c r="EB44" s="59" t="n"/>
      <c r="EC44" s="59" t="n"/>
      <c r="ED44" s="59" t="n"/>
      <c r="EE44" s="59" t="n"/>
      <c r="EF44" s="59" t="n"/>
      <c r="EG44" s="59" t="n"/>
      <c r="EH44" s="59" t="n"/>
      <c r="EI44" s="59" t="n"/>
      <c r="EJ44" s="59" t="n"/>
      <c r="EK44" s="59" t="n"/>
      <c r="EL44" s="59" t="n"/>
      <c r="EM44" s="59" t="n"/>
      <c r="EN44" s="59" t="n"/>
      <c r="EO44" s="59" t="n"/>
      <c r="EP44" s="59" t="n"/>
      <c r="EQ44" s="59" t="n"/>
      <c r="ER44" s="59" t="n"/>
      <c r="ES44" s="59" t="n"/>
      <c r="ET44" s="59" t="n"/>
      <c r="EU44" s="59" t="n"/>
      <c r="EV44" s="59" t="n"/>
      <c r="EW44" s="59" t="n"/>
      <c r="EX44" s="59" t="n"/>
      <c r="EY44" s="59" t="n"/>
      <c r="EZ44" s="59" t="n"/>
      <c r="FA44" s="59" t="n"/>
      <c r="FB44" s="59" t="n"/>
      <c r="FC44" s="59" t="n"/>
      <c r="FD44" s="59" t="n"/>
      <c r="FE44" s="59" t="n"/>
      <c r="FF44" s="59" t="n"/>
      <c r="FG44" s="59" t="n"/>
      <c r="FH44" s="59" t="n"/>
      <c r="FI44" s="59" t="n"/>
      <c r="FJ44" s="59" t="n"/>
      <c r="FK44" s="59" t="n"/>
      <c r="FL44" s="59" t="n"/>
      <c r="FM44" s="59" t="n"/>
      <c r="FN44" s="59" t="n"/>
      <c r="FO44" s="59" t="n"/>
      <c r="FP44" s="59" t="n"/>
      <c r="FQ44" s="59" t="n"/>
      <c r="FR44" s="59" t="n"/>
      <c r="FS44" s="59" t="n"/>
      <c r="FT44" s="59" t="n"/>
      <c r="FU44" s="59" t="n"/>
      <c r="FV44" s="59" t="n"/>
      <c r="FW44" s="59" t="n"/>
      <c r="FX44" s="59" t="n"/>
      <c r="FY44" s="59" t="n"/>
      <c r="FZ44" s="59" t="n"/>
      <c r="GA44" s="59" t="n"/>
      <c r="GB44" s="59" t="n"/>
      <c r="GC44" s="59" t="n"/>
      <c r="GD44" s="59" t="n"/>
      <c r="GE44" s="59" t="n"/>
      <c r="GF44" s="59" t="n"/>
      <c r="GG44" s="59" t="n"/>
      <c r="GH44" s="59" t="n"/>
      <c r="GI44" s="59" t="n"/>
      <c r="GJ44" s="59" t="n"/>
      <c r="GK44" s="59" t="n"/>
      <c r="GL44" s="59" t="n"/>
      <c r="GM44" s="59" t="n"/>
      <c r="GN44" s="59" t="n"/>
      <c r="GO44" s="59" t="n"/>
      <c r="GP44" s="59" t="n"/>
      <c r="GQ44" s="59" t="n"/>
      <c r="GR44" s="59" t="n"/>
      <c r="GS44" s="59" t="n"/>
      <c r="GT44" s="59" t="n"/>
      <c r="GU44" s="59" t="n"/>
      <c r="GV44" s="59" t="n"/>
      <c r="GW44" s="59" t="n"/>
      <c r="GX44" s="59" t="n"/>
      <c r="GY44" s="59" t="n"/>
      <c r="GZ44" s="59" t="n"/>
      <c r="HA44" s="59" t="n"/>
      <c r="HB44" s="59" t="n"/>
      <c r="HC44" s="59" t="n"/>
      <c r="HD44" s="59" t="n"/>
      <c r="HE44" s="59" t="n"/>
      <c r="HF44" s="59" t="n"/>
      <c r="HG44" s="59" t="n"/>
      <c r="HH44" s="59" t="n"/>
      <c r="HI44" s="59" t="n"/>
      <c r="HJ44" s="59" t="n"/>
      <c r="HK44" s="59" t="n"/>
      <c r="HL44" s="59" t="n"/>
      <c r="HM44" s="59" t="n"/>
      <c r="HN44" s="59" t="n"/>
      <c r="HO44" s="59" t="n"/>
      <c r="HP44" s="59" t="n"/>
      <c r="HQ44" s="59" t="n"/>
      <c r="HR44" s="59" t="n"/>
      <c r="HS44" s="59" t="n"/>
      <c r="HT44" s="59" t="n"/>
      <c r="HU44" s="59" t="n"/>
      <c r="HV44" s="59" t="n"/>
      <c r="HW44" s="59" t="n"/>
      <c r="HX44" s="59" t="n"/>
      <c r="HY44" s="59" t="n"/>
      <c r="HZ44" s="59" t="n"/>
      <c r="IA44" s="59" t="n"/>
      <c r="IB44" s="59" t="n"/>
      <c r="IC44" s="59" t="n"/>
      <c r="ID44" s="59" t="n"/>
      <c r="IE44" s="59" t="n"/>
      <c r="IF44" s="59" t="n"/>
      <c r="IG44" s="59" t="n"/>
    </row>
    <row r="45">
      <c r="A45" s="181" t="n"/>
      <c r="B45" s="181" t="n"/>
      <c r="C45" s="181" t="n"/>
      <c r="D45" s="181" t="n"/>
      <c r="E45" s="181" t="n"/>
      <c r="F45" s="208" t="n">
        <v>39</v>
      </c>
      <c r="G45" s="209">
        <f>$C$39</f>
        <v/>
      </c>
      <c r="H45" s="209">
        <f>(J44*$C$16)/12</f>
        <v/>
      </c>
      <c r="I45" s="209">
        <f>G45-H45</f>
        <v/>
      </c>
      <c r="J45" s="209">
        <f>J44-I45</f>
        <v/>
      </c>
      <c r="K45" s="181" t="n"/>
      <c r="L45" s="181" t="n"/>
      <c r="M45" s="181" t="n"/>
      <c r="N45" s="181" t="n"/>
      <c r="O45" s="181" t="n"/>
      <c r="P45" s="181" t="n"/>
      <c r="Q45" s="181" t="n"/>
      <c r="R45" s="181" t="n"/>
      <c r="S45" s="181" t="n"/>
      <c r="T45" s="181" t="n"/>
      <c r="U45" s="181" t="n"/>
      <c r="V45" s="181" t="n"/>
      <c r="W45" s="181" t="n"/>
      <c r="X45" s="181" t="n"/>
      <c r="Y45" s="181" t="n"/>
      <c r="Z45" s="181" t="n"/>
      <c r="AA45" s="181" t="n"/>
      <c r="AB45" s="181"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59" t="n"/>
      <c r="BZ45" s="59" t="n"/>
      <c r="CA45" s="59" t="n"/>
      <c r="CB45" s="59" t="n"/>
      <c r="CC45" s="59" t="n"/>
      <c r="CD45" s="59" t="n"/>
      <c r="CE45" s="59" t="n"/>
      <c r="CF45" s="59" t="n"/>
      <c r="CG45" s="59" t="n"/>
      <c r="CH45" s="59" t="n"/>
      <c r="CI45" s="59" t="n"/>
      <c r="CJ45" s="59" t="n"/>
      <c r="CK45" s="59" t="n"/>
      <c r="CL45" s="59" t="n"/>
      <c r="CM45" s="59" t="n"/>
      <c r="CN45" s="59" t="n"/>
      <c r="CO45" s="59" t="n"/>
      <c r="CP45" s="59" t="n"/>
      <c r="CQ45" s="59" t="n"/>
      <c r="CR45" s="59" t="n"/>
      <c r="CS45" s="59" t="n"/>
      <c r="CT45" s="59" t="n"/>
      <c r="CU45" s="59" t="n"/>
      <c r="CV45" s="59" t="n"/>
      <c r="CW45" s="59" t="n"/>
      <c r="CX45" s="59" t="n"/>
      <c r="CY45" s="59" t="n"/>
      <c r="CZ45" s="59" t="n"/>
      <c r="DA45" s="59" t="n"/>
      <c r="DB45" s="59" t="n"/>
      <c r="DC45" s="59" t="n"/>
      <c r="DD45" s="59" t="n"/>
      <c r="DE45" s="59" t="n"/>
      <c r="DF45" s="59" t="n"/>
      <c r="DG45" s="59" t="n"/>
      <c r="DH45" s="59" t="n"/>
      <c r="DI45" s="59" t="n"/>
      <c r="DJ45" s="59" t="n"/>
      <c r="DK45" s="59" t="n"/>
      <c r="DL45" s="59" t="n"/>
      <c r="DM45" s="59" t="n"/>
      <c r="DN45" s="59" t="n"/>
      <c r="DO45" s="59" t="n"/>
      <c r="DP45" s="59" t="n"/>
      <c r="DQ45" s="59" t="n"/>
      <c r="DR45" s="59" t="n"/>
      <c r="DS45" s="59" t="n"/>
      <c r="DT45" s="59" t="n"/>
      <c r="DU45" s="59" t="n"/>
      <c r="DV45" s="59" t="n"/>
      <c r="DW45" s="59" t="n"/>
      <c r="DX45" s="59" t="n"/>
      <c r="DY45" s="59" t="n"/>
      <c r="DZ45" s="59" t="n"/>
      <c r="EA45" s="59" t="n"/>
      <c r="EB45" s="59" t="n"/>
      <c r="EC45" s="59" t="n"/>
      <c r="ED45" s="59" t="n"/>
      <c r="EE45" s="59" t="n"/>
      <c r="EF45" s="59" t="n"/>
      <c r="EG45" s="59" t="n"/>
      <c r="EH45" s="59" t="n"/>
      <c r="EI45" s="59" t="n"/>
      <c r="EJ45" s="59" t="n"/>
      <c r="EK45" s="59" t="n"/>
      <c r="EL45" s="59" t="n"/>
      <c r="EM45" s="59" t="n"/>
      <c r="EN45" s="59" t="n"/>
      <c r="EO45" s="59" t="n"/>
      <c r="EP45" s="59" t="n"/>
      <c r="EQ45" s="59" t="n"/>
      <c r="ER45" s="59" t="n"/>
      <c r="ES45" s="59" t="n"/>
      <c r="ET45" s="59" t="n"/>
      <c r="EU45" s="59" t="n"/>
      <c r="EV45" s="59" t="n"/>
      <c r="EW45" s="59" t="n"/>
      <c r="EX45" s="59" t="n"/>
      <c r="EY45" s="59" t="n"/>
      <c r="EZ45" s="59" t="n"/>
      <c r="FA45" s="59" t="n"/>
      <c r="FB45" s="59" t="n"/>
      <c r="FC45" s="59" t="n"/>
      <c r="FD45" s="59" t="n"/>
      <c r="FE45" s="59" t="n"/>
      <c r="FF45" s="59" t="n"/>
      <c r="FG45" s="59" t="n"/>
      <c r="FH45" s="59" t="n"/>
      <c r="FI45" s="59" t="n"/>
      <c r="FJ45" s="59" t="n"/>
      <c r="FK45" s="59" t="n"/>
      <c r="FL45" s="59" t="n"/>
      <c r="FM45" s="59" t="n"/>
      <c r="FN45" s="59" t="n"/>
      <c r="FO45" s="59" t="n"/>
      <c r="FP45" s="59" t="n"/>
      <c r="FQ45" s="59" t="n"/>
      <c r="FR45" s="59" t="n"/>
      <c r="FS45" s="59" t="n"/>
      <c r="FT45" s="59" t="n"/>
      <c r="FU45" s="59" t="n"/>
      <c r="FV45" s="59" t="n"/>
      <c r="FW45" s="59" t="n"/>
      <c r="FX45" s="59" t="n"/>
      <c r="FY45" s="59" t="n"/>
      <c r="FZ45" s="59" t="n"/>
      <c r="GA45" s="59" t="n"/>
      <c r="GB45" s="59" t="n"/>
      <c r="GC45" s="59" t="n"/>
      <c r="GD45" s="59" t="n"/>
      <c r="GE45" s="59" t="n"/>
      <c r="GF45" s="59" t="n"/>
      <c r="GG45" s="59" t="n"/>
      <c r="GH45" s="59" t="n"/>
      <c r="GI45" s="59" t="n"/>
      <c r="GJ45" s="59" t="n"/>
      <c r="GK45" s="59" t="n"/>
      <c r="GL45" s="59" t="n"/>
      <c r="GM45" s="59" t="n"/>
      <c r="GN45" s="59" t="n"/>
      <c r="GO45" s="59" t="n"/>
      <c r="GP45" s="59" t="n"/>
      <c r="GQ45" s="59" t="n"/>
      <c r="GR45" s="59" t="n"/>
      <c r="GS45" s="59" t="n"/>
      <c r="GT45" s="59" t="n"/>
      <c r="GU45" s="59" t="n"/>
      <c r="GV45" s="59" t="n"/>
      <c r="GW45" s="59" t="n"/>
      <c r="GX45" s="59" t="n"/>
      <c r="GY45" s="59" t="n"/>
      <c r="GZ45" s="59" t="n"/>
      <c r="HA45" s="59" t="n"/>
      <c r="HB45" s="59" t="n"/>
      <c r="HC45" s="59" t="n"/>
      <c r="HD45" s="59" t="n"/>
      <c r="HE45" s="59" t="n"/>
      <c r="HF45" s="59" t="n"/>
      <c r="HG45" s="59" t="n"/>
      <c r="HH45" s="59" t="n"/>
      <c r="HI45" s="59" t="n"/>
      <c r="HJ45" s="59" t="n"/>
      <c r="HK45" s="59" t="n"/>
      <c r="HL45" s="59" t="n"/>
      <c r="HM45" s="59" t="n"/>
      <c r="HN45" s="59" t="n"/>
      <c r="HO45" s="59" t="n"/>
      <c r="HP45" s="59" t="n"/>
      <c r="HQ45" s="59" t="n"/>
      <c r="HR45" s="59" t="n"/>
      <c r="HS45" s="59" t="n"/>
      <c r="HT45" s="59" t="n"/>
      <c r="HU45" s="59" t="n"/>
      <c r="HV45" s="59" t="n"/>
      <c r="HW45" s="59" t="n"/>
      <c r="HX45" s="59" t="n"/>
      <c r="HY45" s="59" t="n"/>
      <c r="HZ45" s="59" t="n"/>
      <c r="IA45" s="59" t="n"/>
      <c r="IB45" s="59" t="n"/>
      <c r="IC45" s="59" t="n"/>
      <c r="ID45" s="59" t="n"/>
      <c r="IE45" s="59" t="n"/>
      <c r="IF45" s="59" t="n"/>
      <c r="IG45" s="59" t="n"/>
    </row>
    <row r="46">
      <c r="A46" s="181" t="n"/>
      <c r="B46" s="181" t="n"/>
      <c r="C46" s="181" t="n"/>
      <c r="D46" s="181" t="n"/>
      <c r="E46" s="181" t="n"/>
      <c r="F46" s="208" t="n">
        <v>40</v>
      </c>
      <c r="G46" s="209">
        <f>$C$39</f>
        <v/>
      </c>
      <c r="H46" s="209">
        <f>(J45*$C$16)/12</f>
        <v/>
      </c>
      <c r="I46" s="209">
        <f>G46-H46</f>
        <v/>
      </c>
      <c r="J46" s="209">
        <f>J45-I46</f>
        <v/>
      </c>
      <c r="K46" s="181" t="n"/>
      <c r="L46" s="181" t="n"/>
      <c r="M46" s="181" t="n"/>
      <c r="N46" s="181" t="n"/>
      <c r="O46" s="181" t="n"/>
      <c r="P46" s="181" t="n"/>
      <c r="Q46" s="181" t="n"/>
      <c r="R46" s="181" t="n"/>
      <c r="S46" s="181" t="n"/>
      <c r="T46" s="181" t="n"/>
      <c r="U46" s="181" t="n"/>
      <c r="V46" s="181" t="n"/>
      <c r="W46" s="181" t="n"/>
      <c r="X46" s="181" t="n"/>
      <c r="Y46" s="181" t="n"/>
      <c r="Z46" s="181" t="n"/>
      <c r="AA46" s="181" t="n"/>
      <c r="AB46" s="181"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59" t="n"/>
      <c r="BZ46" s="59" t="n"/>
      <c r="CA46" s="59" t="n"/>
      <c r="CB46" s="59" t="n"/>
      <c r="CC46" s="59" t="n"/>
      <c r="CD46" s="59" t="n"/>
      <c r="CE46" s="59" t="n"/>
      <c r="CF46" s="59" t="n"/>
      <c r="CG46" s="59" t="n"/>
      <c r="CH46" s="59" t="n"/>
      <c r="CI46" s="59" t="n"/>
      <c r="CJ46" s="59" t="n"/>
      <c r="CK46" s="59" t="n"/>
      <c r="CL46" s="59" t="n"/>
      <c r="CM46" s="59" t="n"/>
      <c r="CN46" s="59" t="n"/>
      <c r="CO46" s="59" t="n"/>
      <c r="CP46" s="59" t="n"/>
      <c r="CQ46" s="59" t="n"/>
      <c r="CR46" s="59" t="n"/>
      <c r="CS46" s="59" t="n"/>
      <c r="CT46" s="59" t="n"/>
      <c r="CU46" s="59" t="n"/>
      <c r="CV46" s="59" t="n"/>
      <c r="CW46" s="59" t="n"/>
      <c r="CX46" s="59" t="n"/>
      <c r="CY46" s="59" t="n"/>
      <c r="CZ46" s="59" t="n"/>
      <c r="DA46" s="59" t="n"/>
      <c r="DB46" s="59" t="n"/>
      <c r="DC46" s="59" t="n"/>
      <c r="DD46" s="59" t="n"/>
      <c r="DE46" s="59" t="n"/>
      <c r="DF46" s="59" t="n"/>
      <c r="DG46" s="59" t="n"/>
      <c r="DH46" s="59" t="n"/>
      <c r="DI46" s="59" t="n"/>
      <c r="DJ46" s="59" t="n"/>
      <c r="DK46" s="59" t="n"/>
      <c r="DL46" s="59" t="n"/>
      <c r="DM46" s="59" t="n"/>
      <c r="DN46" s="59" t="n"/>
      <c r="DO46" s="59" t="n"/>
      <c r="DP46" s="59" t="n"/>
      <c r="DQ46" s="59" t="n"/>
      <c r="DR46" s="59" t="n"/>
      <c r="DS46" s="59" t="n"/>
      <c r="DT46" s="59" t="n"/>
      <c r="DU46" s="59" t="n"/>
      <c r="DV46" s="59" t="n"/>
      <c r="DW46" s="59" t="n"/>
      <c r="DX46" s="59" t="n"/>
      <c r="DY46" s="59" t="n"/>
      <c r="DZ46" s="59" t="n"/>
      <c r="EA46" s="59" t="n"/>
      <c r="EB46" s="59" t="n"/>
      <c r="EC46" s="59" t="n"/>
      <c r="ED46" s="59" t="n"/>
      <c r="EE46" s="59" t="n"/>
      <c r="EF46" s="59" t="n"/>
      <c r="EG46" s="59" t="n"/>
      <c r="EH46" s="59" t="n"/>
      <c r="EI46" s="59" t="n"/>
      <c r="EJ46" s="59" t="n"/>
      <c r="EK46" s="59" t="n"/>
      <c r="EL46" s="59" t="n"/>
      <c r="EM46" s="59" t="n"/>
      <c r="EN46" s="59" t="n"/>
      <c r="EO46" s="59" t="n"/>
      <c r="EP46" s="59" t="n"/>
      <c r="EQ46" s="59" t="n"/>
      <c r="ER46" s="59" t="n"/>
      <c r="ES46" s="59" t="n"/>
      <c r="ET46" s="59" t="n"/>
      <c r="EU46" s="59" t="n"/>
      <c r="EV46" s="59" t="n"/>
      <c r="EW46" s="59" t="n"/>
      <c r="EX46" s="59" t="n"/>
      <c r="EY46" s="59" t="n"/>
      <c r="EZ46" s="59" t="n"/>
      <c r="FA46" s="59" t="n"/>
      <c r="FB46" s="59" t="n"/>
      <c r="FC46" s="59" t="n"/>
      <c r="FD46" s="59" t="n"/>
      <c r="FE46" s="59" t="n"/>
      <c r="FF46" s="59" t="n"/>
      <c r="FG46" s="59" t="n"/>
      <c r="FH46" s="59" t="n"/>
      <c r="FI46" s="59" t="n"/>
      <c r="FJ46" s="59" t="n"/>
      <c r="FK46" s="59" t="n"/>
      <c r="FL46" s="59" t="n"/>
      <c r="FM46" s="59" t="n"/>
      <c r="FN46" s="59" t="n"/>
      <c r="FO46" s="59" t="n"/>
      <c r="FP46" s="59" t="n"/>
      <c r="FQ46" s="59" t="n"/>
      <c r="FR46" s="59" t="n"/>
      <c r="FS46" s="59" t="n"/>
      <c r="FT46" s="59" t="n"/>
      <c r="FU46" s="59" t="n"/>
      <c r="FV46" s="59" t="n"/>
      <c r="FW46" s="59" t="n"/>
      <c r="FX46" s="59" t="n"/>
      <c r="FY46" s="59" t="n"/>
      <c r="FZ46" s="59" t="n"/>
      <c r="GA46" s="59" t="n"/>
      <c r="GB46" s="59" t="n"/>
      <c r="GC46" s="59" t="n"/>
      <c r="GD46" s="59" t="n"/>
      <c r="GE46" s="59" t="n"/>
      <c r="GF46" s="59" t="n"/>
      <c r="GG46" s="59" t="n"/>
      <c r="GH46" s="59" t="n"/>
      <c r="GI46" s="59" t="n"/>
      <c r="GJ46" s="59" t="n"/>
      <c r="GK46" s="59" t="n"/>
      <c r="GL46" s="59" t="n"/>
      <c r="GM46" s="59" t="n"/>
      <c r="GN46" s="59" t="n"/>
      <c r="GO46" s="59" t="n"/>
      <c r="GP46" s="59" t="n"/>
      <c r="GQ46" s="59" t="n"/>
      <c r="GR46" s="59" t="n"/>
      <c r="GS46" s="59" t="n"/>
      <c r="GT46" s="59" t="n"/>
      <c r="GU46" s="59" t="n"/>
      <c r="GV46" s="59" t="n"/>
      <c r="GW46" s="59" t="n"/>
      <c r="GX46" s="59" t="n"/>
      <c r="GY46" s="59" t="n"/>
      <c r="GZ46" s="59" t="n"/>
      <c r="HA46" s="59" t="n"/>
      <c r="HB46" s="59" t="n"/>
      <c r="HC46" s="59" t="n"/>
      <c r="HD46" s="59" t="n"/>
      <c r="HE46" s="59" t="n"/>
      <c r="HF46" s="59" t="n"/>
      <c r="HG46" s="59" t="n"/>
      <c r="HH46" s="59" t="n"/>
      <c r="HI46" s="59" t="n"/>
      <c r="HJ46" s="59" t="n"/>
      <c r="HK46" s="59" t="n"/>
      <c r="HL46" s="59" t="n"/>
      <c r="HM46" s="59" t="n"/>
      <c r="HN46" s="59" t="n"/>
      <c r="HO46" s="59" t="n"/>
      <c r="HP46" s="59" t="n"/>
      <c r="HQ46" s="59" t="n"/>
      <c r="HR46" s="59" t="n"/>
      <c r="HS46" s="59" t="n"/>
      <c r="HT46" s="59" t="n"/>
      <c r="HU46" s="59" t="n"/>
      <c r="HV46" s="59" t="n"/>
      <c r="HW46" s="59" t="n"/>
      <c r="HX46" s="59" t="n"/>
      <c r="HY46" s="59" t="n"/>
      <c r="HZ46" s="59" t="n"/>
      <c r="IA46" s="59" t="n"/>
      <c r="IB46" s="59" t="n"/>
      <c r="IC46" s="59" t="n"/>
      <c r="ID46" s="59" t="n"/>
      <c r="IE46" s="59" t="n"/>
      <c r="IF46" s="59" t="n"/>
      <c r="IG46" s="59" t="n"/>
    </row>
    <row r="47">
      <c r="A47" s="181" t="n"/>
      <c r="B47" s="181" t="n"/>
      <c r="C47" s="181" t="n"/>
      <c r="D47" s="181" t="n"/>
      <c r="E47" s="181" t="n"/>
      <c r="F47" s="208" t="n">
        <v>41</v>
      </c>
      <c r="G47" s="209">
        <f>$C$39</f>
        <v/>
      </c>
      <c r="H47" s="209">
        <f>(J46*$C$16)/12</f>
        <v/>
      </c>
      <c r="I47" s="209">
        <f>G47-H47</f>
        <v/>
      </c>
      <c r="J47" s="209">
        <f>J46-I47</f>
        <v/>
      </c>
      <c r="K47" s="181" t="n"/>
      <c r="L47" s="181" t="n"/>
      <c r="M47" s="181" t="n"/>
      <c r="N47" s="181" t="n"/>
      <c r="O47" s="181" t="n"/>
      <c r="P47" s="181" t="n"/>
      <c r="Q47" s="181" t="n"/>
      <c r="R47" s="181" t="n"/>
      <c r="S47" s="181" t="n"/>
      <c r="T47" s="181" t="n"/>
      <c r="U47" s="181" t="n"/>
      <c r="V47" s="181" t="n"/>
      <c r="W47" s="181" t="n"/>
      <c r="X47" s="181" t="n"/>
      <c r="Y47" s="181" t="n"/>
      <c r="Z47" s="181" t="n"/>
      <c r="AA47" s="181" t="n"/>
      <c r="AB47" s="181"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59" t="n"/>
      <c r="BZ47" s="59" t="n"/>
      <c r="CA47" s="59" t="n"/>
      <c r="CB47" s="59" t="n"/>
      <c r="CC47" s="59" t="n"/>
      <c r="CD47" s="59" t="n"/>
      <c r="CE47" s="59" t="n"/>
      <c r="CF47" s="59" t="n"/>
      <c r="CG47" s="59" t="n"/>
      <c r="CH47" s="59" t="n"/>
      <c r="CI47" s="59" t="n"/>
      <c r="CJ47" s="59" t="n"/>
      <c r="CK47" s="59" t="n"/>
      <c r="CL47" s="59" t="n"/>
      <c r="CM47" s="59" t="n"/>
      <c r="CN47" s="59" t="n"/>
      <c r="CO47" s="59" t="n"/>
      <c r="CP47" s="59" t="n"/>
      <c r="CQ47" s="59" t="n"/>
      <c r="CR47" s="59" t="n"/>
      <c r="CS47" s="59" t="n"/>
      <c r="CT47" s="59" t="n"/>
      <c r="CU47" s="59" t="n"/>
      <c r="CV47" s="59" t="n"/>
      <c r="CW47" s="59" t="n"/>
      <c r="CX47" s="59" t="n"/>
      <c r="CY47" s="59" t="n"/>
      <c r="CZ47" s="59" t="n"/>
      <c r="DA47" s="59" t="n"/>
      <c r="DB47" s="59" t="n"/>
      <c r="DC47" s="59" t="n"/>
      <c r="DD47" s="59" t="n"/>
      <c r="DE47" s="59" t="n"/>
      <c r="DF47" s="59" t="n"/>
      <c r="DG47" s="59" t="n"/>
      <c r="DH47" s="59" t="n"/>
      <c r="DI47" s="59" t="n"/>
      <c r="DJ47" s="59" t="n"/>
      <c r="DK47" s="59" t="n"/>
      <c r="DL47" s="59" t="n"/>
      <c r="DM47" s="59" t="n"/>
      <c r="DN47" s="59" t="n"/>
      <c r="DO47" s="59" t="n"/>
      <c r="DP47" s="59" t="n"/>
      <c r="DQ47" s="59" t="n"/>
      <c r="DR47" s="59" t="n"/>
      <c r="DS47" s="59" t="n"/>
      <c r="DT47" s="59" t="n"/>
      <c r="DU47" s="59" t="n"/>
      <c r="DV47" s="59" t="n"/>
      <c r="DW47" s="59" t="n"/>
      <c r="DX47" s="59" t="n"/>
      <c r="DY47" s="59" t="n"/>
      <c r="DZ47" s="59" t="n"/>
      <c r="EA47" s="59" t="n"/>
      <c r="EB47" s="59" t="n"/>
      <c r="EC47" s="59" t="n"/>
      <c r="ED47" s="59" t="n"/>
      <c r="EE47" s="59" t="n"/>
      <c r="EF47" s="59" t="n"/>
      <c r="EG47" s="59" t="n"/>
      <c r="EH47" s="59" t="n"/>
      <c r="EI47" s="59" t="n"/>
      <c r="EJ47" s="59" t="n"/>
      <c r="EK47" s="59" t="n"/>
      <c r="EL47" s="59" t="n"/>
      <c r="EM47" s="59" t="n"/>
      <c r="EN47" s="59" t="n"/>
      <c r="EO47" s="59" t="n"/>
      <c r="EP47" s="59" t="n"/>
      <c r="EQ47" s="59" t="n"/>
      <c r="ER47" s="59" t="n"/>
      <c r="ES47" s="59" t="n"/>
      <c r="ET47" s="59" t="n"/>
      <c r="EU47" s="59" t="n"/>
      <c r="EV47" s="59" t="n"/>
      <c r="EW47" s="59" t="n"/>
      <c r="EX47" s="59" t="n"/>
      <c r="EY47" s="59" t="n"/>
      <c r="EZ47" s="59" t="n"/>
      <c r="FA47" s="59" t="n"/>
      <c r="FB47" s="59" t="n"/>
      <c r="FC47" s="59" t="n"/>
      <c r="FD47" s="59" t="n"/>
      <c r="FE47" s="59" t="n"/>
      <c r="FF47" s="59" t="n"/>
      <c r="FG47" s="59" t="n"/>
      <c r="FH47" s="59" t="n"/>
      <c r="FI47" s="59" t="n"/>
      <c r="FJ47" s="59" t="n"/>
      <c r="FK47" s="59" t="n"/>
      <c r="FL47" s="59" t="n"/>
      <c r="FM47" s="59" t="n"/>
      <c r="FN47" s="59" t="n"/>
      <c r="FO47" s="59" t="n"/>
      <c r="FP47" s="59" t="n"/>
      <c r="FQ47" s="59" t="n"/>
      <c r="FR47" s="59" t="n"/>
      <c r="FS47" s="59" t="n"/>
      <c r="FT47" s="59" t="n"/>
      <c r="FU47" s="59" t="n"/>
      <c r="FV47" s="59" t="n"/>
      <c r="FW47" s="59" t="n"/>
      <c r="FX47" s="59" t="n"/>
      <c r="FY47" s="59" t="n"/>
      <c r="FZ47" s="59" t="n"/>
      <c r="GA47" s="59" t="n"/>
      <c r="GB47" s="59" t="n"/>
      <c r="GC47" s="59" t="n"/>
      <c r="GD47" s="59" t="n"/>
      <c r="GE47" s="59" t="n"/>
      <c r="GF47" s="59" t="n"/>
      <c r="GG47" s="59" t="n"/>
      <c r="GH47" s="59" t="n"/>
      <c r="GI47" s="59" t="n"/>
      <c r="GJ47" s="59" t="n"/>
      <c r="GK47" s="59" t="n"/>
      <c r="GL47" s="59" t="n"/>
      <c r="GM47" s="59" t="n"/>
      <c r="GN47" s="59" t="n"/>
      <c r="GO47" s="59" t="n"/>
      <c r="GP47" s="59" t="n"/>
      <c r="GQ47" s="59" t="n"/>
      <c r="GR47" s="59" t="n"/>
      <c r="GS47" s="59" t="n"/>
      <c r="GT47" s="59" t="n"/>
      <c r="GU47" s="59" t="n"/>
      <c r="GV47" s="59" t="n"/>
      <c r="GW47" s="59" t="n"/>
      <c r="GX47" s="59" t="n"/>
      <c r="GY47" s="59" t="n"/>
      <c r="GZ47" s="59" t="n"/>
      <c r="HA47" s="59" t="n"/>
      <c r="HB47" s="59" t="n"/>
      <c r="HC47" s="59" t="n"/>
      <c r="HD47" s="59" t="n"/>
      <c r="HE47" s="59" t="n"/>
      <c r="HF47" s="59" t="n"/>
      <c r="HG47" s="59" t="n"/>
      <c r="HH47" s="59" t="n"/>
      <c r="HI47" s="59" t="n"/>
      <c r="HJ47" s="59" t="n"/>
      <c r="HK47" s="59" t="n"/>
      <c r="HL47" s="59" t="n"/>
      <c r="HM47" s="59" t="n"/>
      <c r="HN47" s="59" t="n"/>
      <c r="HO47" s="59" t="n"/>
      <c r="HP47" s="59" t="n"/>
      <c r="HQ47" s="59" t="n"/>
      <c r="HR47" s="59" t="n"/>
      <c r="HS47" s="59" t="n"/>
      <c r="HT47" s="59" t="n"/>
      <c r="HU47" s="59" t="n"/>
      <c r="HV47" s="59" t="n"/>
      <c r="HW47" s="59" t="n"/>
      <c r="HX47" s="59" t="n"/>
      <c r="HY47" s="59" t="n"/>
      <c r="HZ47" s="59" t="n"/>
      <c r="IA47" s="59" t="n"/>
      <c r="IB47" s="59" t="n"/>
      <c r="IC47" s="59" t="n"/>
      <c r="ID47" s="59" t="n"/>
      <c r="IE47" s="59" t="n"/>
      <c r="IF47" s="59" t="n"/>
      <c r="IG47" s="59" t="n"/>
    </row>
    <row r="48">
      <c r="A48" s="181" t="n"/>
      <c r="B48" s="181" t="n"/>
      <c r="C48" s="181" t="n"/>
      <c r="D48" s="181" t="n"/>
      <c r="E48" s="181" t="n"/>
      <c r="F48" s="208" t="n">
        <v>42</v>
      </c>
      <c r="G48" s="209">
        <f>$C$39</f>
        <v/>
      </c>
      <c r="H48" s="209">
        <f>(J47*$C$16)/12</f>
        <v/>
      </c>
      <c r="I48" s="209">
        <f>G48-H48</f>
        <v/>
      </c>
      <c r="J48" s="209">
        <f>J47-I48</f>
        <v/>
      </c>
      <c r="K48" s="181" t="n"/>
      <c r="L48" s="181" t="n"/>
      <c r="M48" s="181" t="n"/>
      <c r="N48" s="181" t="n"/>
      <c r="O48" s="181" t="n"/>
      <c r="P48" s="181" t="n"/>
      <c r="Q48" s="181" t="n"/>
      <c r="R48" s="181" t="n"/>
      <c r="S48" s="181" t="n"/>
      <c r="T48" s="181" t="n"/>
      <c r="U48" s="181" t="n"/>
      <c r="V48" s="181" t="n"/>
      <c r="W48" s="181" t="n"/>
      <c r="X48" s="181" t="n"/>
      <c r="Y48" s="181" t="n"/>
      <c r="Z48" s="181" t="n"/>
      <c r="AA48" s="181" t="n"/>
      <c r="AB48" s="181"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59" t="n"/>
      <c r="BZ48" s="59" t="n"/>
      <c r="CA48" s="59" t="n"/>
      <c r="CB48" s="59" t="n"/>
      <c r="CC48" s="59" t="n"/>
      <c r="CD48" s="59" t="n"/>
      <c r="CE48" s="59" t="n"/>
      <c r="CF48" s="59" t="n"/>
      <c r="CG48" s="59" t="n"/>
      <c r="CH48" s="59" t="n"/>
      <c r="CI48" s="59" t="n"/>
      <c r="CJ48" s="59" t="n"/>
      <c r="CK48" s="59" t="n"/>
      <c r="CL48" s="59" t="n"/>
      <c r="CM48" s="59" t="n"/>
      <c r="CN48" s="59" t="n"/>
      <c r="CO48" s="59" t="n"/>
      <c r="CP48" s="59" t="n"/>
      <c r="CQ48" s="59" t="n"/>
      <c r="CR48" s="59" t="n"/>
      <c r="CS48" s="59" t="n"/>
      <c r="CT48" s="59" t="n"/>
      <c r="CU48" s="59" t="n"/>
      <c r="CV48" s="59" t="n"/>
      <c r="CW48" s="59" t="n"/>
      <c r="CX48" s="59" t="n"/>
      <c r="CY48" s="59" t="n"/>
      <c r="CZ48" s="59" t="n"/>
      <c r="DA48" s="59" t="n"/>
      <c r="DB48" s="59" t="n"/>
      <c r="DC48" s="59" t="n"/>
      <c r="DD48" s="59" t="n"/>
      <c r="DE48" s="59" t="n"/>
      <c r="DF48" s="59" t="n"/>
      <c r="DG48" s="59" t="n"/>
      <c r="DH48" s="59" t="n"/>
      <c r="DI48" s="59" t="n"/>
      <c r="DJ48" s="59" t="n"/>
      <c r="DK48" s="59" t="n"/>
      <c r="DL48" s="59" t="n"/>
      <c r="DM48" s="59" t="n"/>
      <c r="DN48" s="59" t="n"/>
      <c r="DO48" s="59" t="n"/>
      <c r="DP48" s="59" t="n"/>
      <c r="DQ48" s="59" t="n"/>
      <c r="DR48" s="59" t="n"/>
      <c r="DS48" s="59" t="n"/>
      <c r="DT48" s="59" t="n"/>
      <c r="DU48" s="59" t="n"/>
      <c r="DV48" s="59" t="n"/>
      <c r="DW48" s="59" t="n"/>
      <c r="DX48" s="59" t="n"/>
      <c r="DY48" s="59" t="n"/>
      <c r="DZ48" s="59" t="n"/>
      <c r="EA48" s="59" t="n"/>
      <c r="EB48" s="59" t="n"/>
      <c r="EC48" s="59" t="n"/>
      <c r="ED48" s="59" t="n"/>
      <c r="EE48" s="59" t="n"/>
      <c r="EF48" s="59" t="n"/>
      <c r="EG48" s="59" t="n"/>
      <c r="EH48" s="59" t="n"/>
      <c r="EI48" s="59" t="n"/>
      <c r="EJ48" s="59" t="n"/>
      <c r="EK48" s="59" t="n"/>
      <c r="EL48" s="59" t="n"/>
      <c r="EM48" s="59" t="n"/>
      <c r="EN48" s="59" t="n"/>
      <c r="EO48" s="59" t="n"/>
      <c r="EP48" s="59" t="n"/>
      <c r="EQ48" s="59" t="n"/>
      <c r="ER48" s="59" t="n"/>
      <c r="ES48" s="59" t="n"/>
      <c r="ET48" s="59" t="n"/>
      <c r="EU48" s="59" t="n"/>
      <c r="EV48" s="59" t="n"/>
      <c r="EW48" s="59" t="n"/>
      <c r="EX48" s="59" t="n"/>
      <c r="EY48" s="59" t="n"/>
      <c r="EZ48" s="59" t="n"/>
      <c r="FA48" s="59" t="n"/>
      <c r="FB48" s="59" t="n"/>
      <c r="FC48" s="59" t="n"/>
      <c r="FD48" s="59" t="n"/>
      <c r="FE48" s="59" t="n"/>
      <c r="FF48" s="59" t="n"/>
      <c r="FG48" s="59" t="n"/>
      <c r="FH48" s="59" t="n"/>
      <c r="FI48" s="59" t="n"/>
      <c r="FJ48" s="59" t="n"/>
      <c r="FK48" s="59" t="n"/>
      <c r="FL48" s="59" t="n"/>
      <c r="FM48" s="59" t="n"/>
      <c r="FN48" s="59" t="n"/>
      <c r="FO48" s="59" t="n"/>
      <c r="FP48" s="59" t="n"/>
      <c r="FQ48" s="59" t="n"/>
      <c r="FR48" s="59" t="n"/>
      <c r="FS48" s="59" t="n"/>
      <c r="FT48" s="59" t="n"/>
      <c r="FU48" s="59" t="n"/>
      <c r="FV48" s="59" t="n"/>
      <c r="FW48" s="59" t="n"/>
      <c r="FX48" s="59" t="n"/>
      <c r="FY48" s="59" t="n"/>
      <c r="FZ48" s="59" t="n"/>
      <c r="GA48" s="59" t="n"/>
      <c r="GB48" s="59" t="n"/>
      <c r="GC48" s="59" t="n"/>
      <c r="GD48" s="59" t="n"/>
      <c r="GE48" s="59" t="n"/>
      <c r="GF48" s="59" t="n"/>
      <c r="GG48" s="59" t="n"/>
      <c r="GH48" s="59" t="n"/>
      <c r="GI48" s="59" t="n"/>
      <c r="GJ48" s="59" t="n"/>
      <c r="GK48" s="59" t="n"/>
      <c r="GL48" s="59" t="n"/>
      <c r="GM48" s="59" t="n"/>
      <c r="GN48" s="59" t="n"/>
      <c r="GO48" s="59" t="n"/>
      <c r="GP48" s="59" t="n"/>
      <c r="GQ48" s="59" t="n"/>
      <c r="GR48" s="59" t="n"/>
      <c r="GS48" s="59" t="n"/>
      <c r="GT48" s="59" t="n"/>
      <c r="GU48" s="59" t="n"/>
      <c r="GV48" s="59" t="n"/>
      <c r="GW48" s="59" t="n"/>
      <c r="GX48" s="59" t="n"/>
      <c r="GY48" s="59" t="n"/>
      <c r="GZ48" s="59" t="n"/>
      <c r="HA48" s="59" t="n"/>
      <c r="HB48" s="59" t="n"/>
      <c r="HC48" s="59" t="n"/>
      <c r="HD48" s="59" t="n"/>
      <c r="HE48" s="59" t="n"/>
      <c r="HF48" s="59" t="n"/>
      <c r="HG48" s="59" t="n"/>
      <c r="HH48" s="59" t="n"/>
      <c r="HI48" s="59" t="n"/>
      <c r="HJ48" s="59" t="n"/>
      <c r="HK48" s="59" t="n"/>
      <c r="HL48" s="59" t="n"/>
      <c r="HM48" s="59" t="n"/>
      <c r="HN48" s="59" t="n"/>
      <c r="HO48" s="59" t="n"/>
      <c r="HP48" s="59" t="n"/>
      <c r="HQ48" s="59" t="n"/>
      <c r="HR48" s="59" t="n"/>
      <c r="HS48" s="59" t="n"/>
      <c r="HT48" s="59" t="n"/>
      <c r="HU48" s="59" t="n"/>
      <c r="HV48" s="59" t="n"/>
      <c r="HW48" s="59" t="n"/>
      <c r="HX48" s="59" t="n"/>
      <c r="HY48" s="59" t="n"/>
      <c r="HZ48" s="59" t="n"/>
      <c r="IA48" s="59" t="n"/>
      <c r="IB48" s="59" t="n"/>
      <c r="IC48" s="59" t="n"/>
      <c r="ID48" s="59" t="n"/>
      <c r="IE48" s="59" t="n"/>
      <c r="IF48" s="59" t="n"/>
      <c r="IG48" s="59" t="n"/>
    </row>
    <row r="49">
      <c r="A49" s="181" t="n"/>
      <c r="B49" s="181" t="n"/>
      <c r="C49" s="181" t="n"/>
      <c r="D49" s="181" t="n"/>
      <c r="E49" s="181" t="n"/>
      <c r="F49" s="208" t="n">
        <v>43</v>
      </c>
      <c r="G49" s="209">
        <f>$C$39</f>
        <v/>
      </c>
      <c r="H49" s="209">
        <f>(J48*$C$16)/12</f>
        <v/>
      </c>
      <c r="I49" s="209">
        <f>G49-H49</f>
        <v/>
      </c>
      <c r="J49" s="209">
        <f>J48-I49</f>
        <v/>
      </c>
      <c r="K49" s="181" t="n"/>
      <c r="L49" s="181" t="n"/>
      <c r="M49" s="181" t="n"/>
      <c r="N49" s="181" t="n"/>
      <c r="O49" s="181" t="n"/>
      <c r="P49" s="181" t="n"/>
      <c r="Q49" s="181" t="n"/>
      <c r="R49" s="181" t="n"/>
      <c r="S49" s="181" t="n"/>
      <c r="T49" s="181" t="n"/>
      <c r="U49" s="181" t="n"/>
      <c r="V49" s="181" t="n"/>
      <c r="W49" s="181" t="n"/>
      <c r="X49" s="181" t="n"/>
      <c r="Y49" s="181" t="n"/>
      <c r="Z49" s="181" t="n"/>
      <c r="AA49" s="181" t="n"/>
      <c r="AB49" s="181"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59" t="n"/>
      <c r="BZ49" s="59" t="n"/>
      <c r="CA49" s="59" t="n"/>
      <c r="CB49" s="59" t="n"/>
      <c r="CC49" s="59" t="n"/>
      <c r="CD49" s="59" t="n"/>
      <c r="CE49" s="59" t="n"/>
      <c r="CF49" s="59" t="n"/>
      <c r="CG49" s="59" t="n"/>
      <c r="CH49" s="59" t="n"/>
      <c r="CI49" s="59" t="n"/>
      <c r="CJ49" s="59" t="n"/>
      <c r="CK49" s="59" t="n"/>
      <c r="CL49" s="59" t="n"/>
      <c r="CM49" s="59" t="n"/>
      <c r="CN49" s="59" t="n"/>
      <c r="CO49" s="59" t="n"/>
      <c r="CP49" s="59" t="n"/>
      <c r="CQ49" s="59" t="n"/>
      <c r="CR49" s="59" t="n"/>
      <c r="CS49" s="59" t="n"/>
      <c r="CT49" s="59" t="n"/>
      <c r="CU49" s="59" t="n"/>
      <c r="CV49" s="59" t="n"/>
      <c r="CW49" s="59" t="n"/>
      <c r="CX49" s="59" t="n"/>
      <c r="CY49" s="59" t="n"/>
      <c r="CZ49" s="59" t="n"/>
      <c r="DA49" s="59" t="n"/>
      <c r="DB49" s="59" t="n"/>
      <c r="DC49" s="59" t="n"/>
      <c r="DD49" s="59" t="n"/>
      <c r="DE49" s="59" t="n"/>
      <c r="DF49" s="59" t="n"/>
      <c r="DG49" s="59" t="n"/>
      <c r="DH49" s="59" t="n"/>
      <c r="DI49" s="59" t="n"/>
      <c r="DJ49" s="59" t="n"/>
      <c r="DK49" s="59" t="n"/>
      <c r="DL49" s="59" t="n"/>
      <c r="DM49" s="59" t="n"/>
      <c r="DN49" s="59" t="n"/>
      <c r="DO49" s="59" t="n"/>
      <c r="DP49" s="59" t="n"/>
      <c r="DQ49" s="59" t="n"/>
      <c r="DR49" s="59" t="n"/>
      <c r="DS49" s="59" t="n"/>
      <c r="DT49" s="59" t="n"/>
      <c r="DU49" s="59" t="n"/>
      <c r="DV49" s="59" t="n"/>
      <c r="DW49" s="59" t="n"/>
      <c r="DX49" s="59" t="n"/>
      <c r="DY49" s="59" t="n"/>
      <c r="DZ49" s="59" t="n"/>
      <c r="EA49" s="59" t="n"/>
      <c r="EB49" s="59" t="n"/>
      <c r="EC49" s="59" t="n"/>
      <c r="ED49" s="59" t="n"/>
      <c r="EE49" s="59" t="n"/>
      <c r="EF49" s="59" t="n"/>
      <c r="EG49" s="59" t="n"/>
      <c r="EH49" s="59" t="n"/>
      <c r="EI49" s="59" t="n"/>
      <c r="EJ49" s="59" t="n"/>
      <c r="EK49" s="59" t="n"/>
      <c r="EL49" s="59" t="n"/>
      <c r="EM49" s="59" t="n"/>
      <c r="EN49" s="59" t="n"/>
      <c r="EO49" s="59" t="n"/>
      <c r="EP49" s="59" t="n"/>
      <c r="EQ49" s="59" t="n"/>
      <c r="ER49" s="59" t="n"/>
      <c r="ES49" s="59" t="n"/>
      <c r="ET49" s="59" t="n"/>
      <c r="EU49" s="59" t="n"/>
      <c r="EV49" s="59" t="n"/>
      <c r="EW49" s="59" t="n"/>
      <c r="EX49" s="59" t="n"/>
      <c r="EY49" s="59" t="n"/>
      <c r="EZ49" s="59" t="n"/>
      <c r="FA49" s="59" t="n"/>
      <c r="FB49" s="59" t="n"/>
      <c r="FC49" s="59" t="n"/>
      <c r="FD49" s="59" t="n"/>
      <c r="FE49" s="59" t="n"/>
      <c r="FF49" s="59" t="n"/>
      <c r="FG49" s="59" t="n"/>
      <c r="FH49" s="59" t="n"/>
      <c r="FI49" s="59" t="n"/>
      <c r="FJ49" s="59" t="n"/>
      <c r="FK49" s="59" t="n"/>
      <c r="FL49" s="59" t="n"/>
      <c r="FM49" s="59" t="n"/>
      <c r="FN49" s="59" t="n"/>
      <c r="FO49" s="59" t="n"/>
      <c r="FP49" s="59" t="n"/>
      <c r="FQ49" s="59" t="n"/>
      <c r="FR49" s="59" t="n"/>
      <c r="FS49" s="59" t="n"/>
      <c r="FT49" s="59" t="n"/>
      <c r="FU49" s="59" t="n"/>
      <c r="FV49" s="59" t="n"/>
      <c r="FW49" s="59" t="n"/>
      <c r="FX49" s="59" t="n"/>
      <c r="FY49" s="59" t="n"/>
      <c r="FZ49" s="59" t="n"/>
      <c r="GA49" s="59" t="n"/>
      <c r="GB49" s="59" t="n"/>
      <c r="GC49" s="59" t="n"/>
      <c r="GD49" s="59" t="n"/>
      <c r="GE49" s="59" t="n"/>
      <c r="GF49" s="59" t="n"/>
      <c r="GG49" s="59" t="n"/>
      <c r="GH49" s="59" t="n"/>
      <c r="GI49" s="59" t="n"/>
      <c r="GJ49" s="59" t="n"/>
      <c r="GK49" s="59" t="n"/>
      <c r="GL49" s="59" t="n"/>
      <c r="GM49" s="59" t="n"/>
      <c r="GN49" s="59" t="n"/>
      <c r="GO49" s="59" t="n"/>
      <c r="GP49" s="59" t="n"/>
      <c r="GQ49" s="59" t="n"/>
      <c r="GR49" s="59" t="n"/>
      <c r="GS49" s="59" t="n"/>
      <c r="GT49" s="59" t="n"/>
      <c r="GU49" s="59" t="n"/>
      <c r="GV49" s="59" t="n"/>
      <c r="GW49" s="59" t="n"/>
      <c r="GX49" s="59" t="n"/>
      <c r="GY49" s="59" t="n"/>
      <c r="GZ49" s="59" t="n"/>
      <c r="HA49" s="59" t="n"/>
      <c r="HB49" s="59" t="n"/>
      <c r="HC49" s="59" t="n"/>
      <c r="HD49" s="59" t="n"/>
      <c r="HE49" s="59" t="n"/>
      <c r="HF49" s="59" t="n"/>
      <c r="HG49" s="59" t="n"/>
      <c r="HH49" s="59" t="n"/>
      <c r="HI49" s="59" t="n"/>
      <c r="HJ49" s="59" t="n"/>
      <c r="HK49" s="59" t="n"/>
      <c r="HL49" s="59" t="n"/>
      <c r="HM49" s="59" t="n"/>
      <c r="HN49" s="59" t="n"/>
      <c r="HO49" s="59" t="n"/>
      <c r="HP49" s="59" t="n"/>
      <c r="HQ49" s="59" t="n"/>
      <c r="HR49" s="59" t="n"/>
      <c r="HS49" s="59" t="n"/>
      <c r="HT49" s="59" t="n"/>
      <c r="HU49" s="59" t="n"/>
      <c r="HV49" s="59" t="n"/>
      <c r="HW49" s="59" t="n"/>
      <c r="HX49" s="59" t="n"/>
      <c r="HY49" s="59" t="n"/>
      <c r="HZ49" s="59" t="n"/>
      <c r="IA49" s="59" t="n"/>
      <c r="IB49" s="59" t="n"/>
      <c r="IC49" s="59" t="n"/>
      <c r="ID49" s="59" t="n"/>
      <c r="IE49" s="59" t="n"/>
      <c r="IF49" s="59" t="n"/>
      <c r="IG49" s="59" t="n"/>
    </row>
    <row r="50">
      <c r="A50" s="181" t="n"/>
      <c r="B50" s="181" t="n"/>
      <c r="C50" s="181" t="n"/>
      <c r="D50" s="181" t="n"/>
      <c r="E50" s="181" t="n"/>
      <c r="F50" s="208" t="n">
        <v>44</v>
      </c>
      <c r="G50" s="209">
        <f>$C$39</f>
        <v/>
      </c>
      <c r="H50" s="209">
        <f>(J49*$C$16)/12</f>
        <v/>
      </c>
      <c r="I50" s="209">
        <f>G50-H50</f>
        <v/>
      </c>
      <c r="J50" s="209">
        <f>J49-I50</f>
        <v/>
      </c>
      <c r="K50" s="181" t="n"/>
      <c r="L50" s="181" t="n"/>
      <c r="M50" s="181" t="n"/>
      <c r="N50" s="181" t="n"/>
      <c r="O50" s="181" t="n"/>
      <c r="P50" s="181" t="n"/>
      <c r="Q50" s="181" t="n"/>
      <c r="R50" s="181" t="n"/>
      <c r="S50" s="181" t="n"/>
      <c r="T50" s="181" t="n"/>
      <c r="U50" s="181" t="n"/>
      <c r="V50" s="181" t="n"/>
      <c r="W50" s="181" t="n"/>
      <c r="X50" s="181" t="n"/>
      <c r="Y50" s="181" t="n"/>
      <c r="Z50" s="181" t="n"/>
      <c r="AA50" s="181" t="n"/>
      <c r="AB50" s="181"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59" t="n"/>
      <c r="BZ50" s="59" t="n"/>
      <c r="CA50" s="59" t="n"/>
      <c r="CB50" s="59" t="n"/>
      <c r="CC50" s="59" t="n"/>
      <c r="CD50" s="59" t="n"/>
      <c r="CE50" s="59" t="n"/>
      <c r="CF50" s="59" t="n"/>
      <c r="CG50" s="59" t="n"/>
      <c r="CH50" s="59" t="n"/>
      <c r="CI50" s="59" t="n"/>
      <c r="CJ50" s="59" t="n"/>
      <c r="CK50" s="59" t="n"/>
      <c r="CL50" s="59" t="n"/>
      <c r="CM50" s="59" t="n"/>
      <c r="CN50" s="59" t="n"/>
      <c r="CO50" s="59" t="n"/>
      <c r="CP50" s="59" t="n"/>
      <c r="CQ50" s="59" t="n"/>
      <c r="CR50" s="59" t="n"/>
      <c r="CS50" s="59" t="n"/>
      <c r="CT50" s="59" t="n"/>
      <c r="CU50" s="59" t="n"/>
      <c r="CV50" s="59" t="n"/>
      <c r="CW50" s="59" t="n"/>
      <c r="CX50" s="59" t="n"/>
      <c r="CY50" s="59" t="n"/>
      <c r="CZ50" s="59" t="n"/>
      <c r="DA50" s="59" t="n"/>
      <c r="DB50" s="59" t="n"/>
      <c r="DC50" s="59" t="n"/>
      <c r="DD50" s="59" t="n"/>
      <c r="DE50" s="59" t="n"/>
      <c r="DF50" s="59" t="n"/>
      <c r="DG50" s="59" t="n"/>
      <c r="DH50" s="59" t="n"/>
      <c r="DI50" s="59" t="n"/>
      <c r="DJ50" s="59" t="n"/>
      <c r="DK50" s="59" t="n"/>
      <c r="DL50" s="59" t="n"/>
      <c r="DM50" s="59" t="n"/>
      <c r="DN50" s="59" t="n"/>
      <c r="DO50" s="59" t="n"/>
      <c r="DP50" s="59" t="n"/>
      <c r="DQ50" s="59" t="n"/>
      <c r="DR50" s="59" t="n"/>
      <c r="DS50" s="59" t="n"/>
      <c r="DT50" s="59" t="n"/>
      <c r="DU50" s="59" t="n"/>
      <c r="DV50" s="59" t="n"/>
      <c r="DW50" s="59" t="n"/>
      <c r="DX50" s="59" t="n"/>
      <c r="DY50" s="59" t="n"/>
      <c r="DZ50" s="59" t="n"/>
      <c r="EA50" s="59" t="n"/>
      <c r="EB50" s="59" t="n"/>
      <c r="EC50" s="59" t="n"/>
      <c r="ED50" s="59" t="n"/>
      <c r="EE50" s="59" t="n"/>
      <c r="EF50" s="59" t="n"/>
      <c r="EG50" s="59" t="n"/>
      <c r="EH50" s="59" t="n"/>
      <c r="EI50" s="59" t="n"/>
      <c r="EJ50" s="59" t="n"/>
      <c r="EK50" s="59" t="n"/>
      <c r="EL50" s="59" t="n"/>
      <c r="EM50" s="59" t="n"/>
      <c r="EN50" s="59" t="n"/>
      <c r="EO50" s="59" t="n"/>
      <c r="EP50" s="59" t="n"/>
      <c r="EQ50" s="59" t="n"/>
      <c r="ER50" s="59" t="n"/>
      <c r="ES50" s="59" t="n"/>
      <c r="ET50" s="59" t="n"/>
      <c r="EU50" s="59" t="n"/>
      <c r="EV50" s="59" t="n"/>
      <c r="EW50" s="59" t="n"/>
      <c r="EX50" s="59" t="n"/>
      <c r="EY50" s="59" t="n"/>
      <c r="EZ50" s="59" t="n"/>
      <c r="FA50" s="59" t="n"/>
      <c r="FB50" s="59" t="n"/>
      <c r="FC50" s="59" t="n"/>
      <c r="FD50" s="59" t="n"/>
      <c r="FE50" s="59" t="n"/>
      <c r="FF50" s="59" t="n"/>
      <c r="FG50" s="59" t="n"/>
      <c r="FH50" s="59" t="n"/>
      <c r="FI50" s="59" t="n"/>
      <c r="FJ50" s="59" t="n"/>
      <c r="FK50" s="59" t="n"/>
      <c r="FL50" s="59" t="n"/>
      <c r="FM50" s="59" t="n"/>
      <c r="FN50" s="59" t="n"/>
      <c r="FO50" s="59" t="n"/>
      <c r="FP50" s="59" t="n"/>
      <c r="FQ50" s="59" t="n"/>
      <c r="FR50" s="59" t="n"/>
      <c r="FS50" s="59" t="n"/>
      <c r="FT50" s="59" t="n"/>
      <c r="FU50" s="59" t="n"/>
      <c r="FV50" s="59" t="n"/>
      <c r="FW50" s="59" t="n"/>
      <c r="FX50" s="59" t="n"/>
      <c r="FY50" s="59" t="n"/>
      <c r="FZ50" s="59" t="n"/>
      <c r="GA50" s="59" t="n"/>
      <c r="GB50" s="59" t="n"/>
      <c r="GC50" s="59" t="n"/>
      <c r="GD50" s="59" t="n"/>
      <c r="GE50" s="59" t="n"/>
      <c r="GF50" s="59" t="n"/>
      <c r="GG50" s="59" t="n"/>
      <c r="GH50" s="59" t="n"/>
      <c r="GI50" s="59" t="n"/>
      <c r="GJ50" s="59" t="n"/>
      <c r="GK50" s="59" t="n"/>
      <c r="GL50" s="59" t="n"/>
      <c r="GM50" s="59" t="n"/>
      <c r="GN50" s="59" t="n"/>
      <c r="GO50" s="59" t="n"/>
      <c r="GP50" s="59" t="n"/>
      <c r="GQ50" s="59" t="n"/>
      <c r="GR50" s="59" t="n"/>
      <c r="GS50" s="59" t="n"/>
      <c r="GT50" s="59" t="n"/>
      <c r="GU50" s="59" t="n"/>
      <c r="GV50" s="59" t="n"/>
      <c r="GW50" s="59" t="n"/>
      <c r="GX50" s="59" t="n"/>
      <c r="GY50" s="59" t="n"/>
      <c r="GZ50" s="59" t="n"/>
      <c r="HA50" s="59" t="n"/>
      <c r="HB50" s="59" t="n"/>
      <c r="HC50" s="59" t="n"/>
      <c r="HD50" s="59" t="n"/>
      <c r="HE50" s="59" t="n"/>
      <c r="HF50" s="59" t="n"/>
      <c r="HG50" s="59" t="n"/>
      <c r="HH50" s="59" t="n"/>
      <c r="HI50" s="59" t="n"/>
      <c r="HJ50" s="59" t="n"/>
      <c r="HK50" s="59" t="n"/>
      <c r="HL50" s="59" t="n"/>
      <c r="HM50" s="59" t="n"/>
      <c r="HN50" s="59" t="n"/>
      <c r="HO50" s="59" t="n"/>
      <c r="HP50" s="59" t="n"/>
      <c r="HQ50" s="59" t="n"/>
      <c r="HR50" s="59" t="n"/>
      <c r="HS50" s="59" t="n"/>
      <c r="HT50" s="59" t="n"/>
      <c r="HU50" s="59" t="n"/>
      <c r="HV50" s="59" t="n"/>
      <c r="HW50" s="59" t="n"/>
      <c r="HX50" s="59" t="n"/>
      <c r="HY50" s="59" t="n"/>
      <c r="HZ50" s="59" t="n"/>
      <c r="IA50" s="59" t="n"/>
      <c r="IB50" s="59" t="n"/>
      <c r="IC50" s="59" t="n"/>
      <c r="ID50" s="59" t="n"/>
      <c r="IE50" s="59" t="n"/>
      <c r="IF50" s="59" t="n"/>
      <c r="IG50" s="59" t="n"/>
    </row>
    <row r="51">
      <c r="A51" s="181" t="n"/>
      <c r="B51" s="181" t="n"/>
      <c r="C51" s="181" t="n"/>
      <c r="D51" s="181" t="n"/>
      <c r="E51" s="181" t="n"/>
      <c r="F51" s="208" t="n">
        <v>45</v>
      </c>
      <c r="G51" s="209">
        <f>$C$39</f>
        <v/>
      </c>
      <c r="H51" s="209">
        <f>(J50*$C$16)/12</f>
        <v/>
      </c>
      <c r="I51" s="209">
        <f>G51-H51</f>
        <v/>
      </c>
      <c r="J51" s="209">
        <f>J50-I51</f>
        <v/>
      </c>
      <c r="K51" s="181" t="n"/>
      <c r="L51" s="181" t="n"/>
      <c r="M51" s="181" t="n"/>
      <c r="N51" s="181" t="n"/>
      <c r="O51" s="181" t="n"/>
      <c r="P51" s="181" t="n"/>
      <c r="Q51" s="181" t="n"/>
      <c r="R51" s="181" t="n"/>
      <c r="S51" s="181" t="n"/>
      <c r="T51" s="181" t="n"/>
      <c r="U51" s="181" t="n"/>
      <c r="V51" s="181" t="n"/>
      <c r="W51" s="181" t="n"/>
      <c r="X51" s="181" t="n"/>
      <c r="Y51" s="181" t="n"/>
      <c r="Z51" s="181" t="n"/>
      <c r="AA51" s="181" t="n"/>
      <c r="AB51" s="181"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59" t="n"/>
      <c r="BZ51" s="59" t="n"/>
      <c r="CA51" s="59" t="n"/>
      <c r="CB51" s="59" t="n"/>
      <c r="CC51" s="59" t="n"/>
      <c r="CD51" s="59" t="n"/>
      <c r="CE51" s="59" t="n"/>
      <c r="CF51" s="59" t="n"/>
      <c r="CG51" s="59" t="n"/>
      <c r="CH51" s="59" t="n"/>
      <c r="CI51" s="59" t="n"/>
      <c r="CJ51" s="59" t="n"/>
      <c r="CK51" s="59" t="n"/>
      <c r="CL51" s="59" t="n"/>
      <c r="CM51" s="59" t="n"/>
      <c r="CN51" s="59" t="n"/>
      <c r="CO51" s="59" t="n"/>
      <c r="CP51" s="59" t="n"/>
      <c r="CQ51" s="59" t="n"/>
      <c r="CR51" s="59" t="n"/>
      <c r="CS51" s="59" t="n"/>
      <c r="CT51" s="59" t="n"/>
      <c r="CU51" s="59" t="n"/>
      <c r="CV51" s="59" t="n"/>
      <c r="CW51" s="59" t="n"/>
      <c r="CX51" s="59" t="n"/>
      <c r="CY51" s="59" t="n"/>
      <c r="CZ51" s="59" t="n"/>
      <c r="DA51" s="59" t="n"/>
      <c r="DB51" s="59" t="n"/>
      <c r="DC51" s="59" t="n"/>
      <c r="DD51" s="59" t="n"/>
      <c r="DE51" s="59" t="n"/>
      <c r="DF51" s="59" t="n"/>
      <c r="DG51" s="59" t="n"/>
      <c r="DH51" s="59" t="n"/>
      <c r="DI51" s="59" t="n"/>
      <c r="DJ51" s="59" t="n"/>
      <c r="DK51" s="59" t="n"/>
      <c r="DL51" s="59" t="n"/>
      <c r="DM51" s="59" t="n"/>
      <c r="DN51" s="59" t="n"/>
      <c r="DO51" s="59" t="n"/>
      <c r="DP51" s="59" t="n"/>
      <c r="DQ51" s="59" t="n"/>
      <c r="DR51" s="59" t="n"/>
      <c r="DS51" s="59" t="n"/>
      <c r="DT51" s="59" t="n"/>
      <c r="DU51" s="59" t="n"/>
      <c r="DV51" s="59" t="n"/>
      <c r="DW51" s="59" t="n"/>
      <c r="DX51" s="59" t="n"/>
      <c r="DY51" s="59" t="n"/>
      <c r="DZ51" s="59" t="n"/>
      <c r="EA51" s="59" t="n"/>
      <c r="EB51" s="59" t="n"/>
      <c r="EC51" s="59" t="n"/>
      <c r="ED51" s="59" t="n"/>
      <c r="EE51" s="59" t="n"/>
      <c r="EF51" s="59" t="n"/>
      <c r="EG51" s="59" t="n"/>
      <c r="EH51" s="59" t="n"/>
      <c r="EI51" s="59" t="n"/>
      <c r="EJ51" s="59" t="n"/>
      <c r="EK51" s="59" t="n"/>
      <c r="EL51" s="59" t="n"/>
      <c r="EM51" s="59" t="n"/>
      <c r="EN51" s="59" t="n"/>
      <c r="EO51" s="59" t="n"/>
      <c r="EP51" s="59" t="n"/>
      <c r="EQ51" s="59" t="n"/>
      <c r="ER51" s="59" t="n"/>
      <c r="ES51" s="59" t="n"/>
      <c r="ET51" s="59" t="n"/>
      <c r="EU51" s="59" t="n"/>
      <c r="EV51" s="59" t="n"/>
      <c r="EW51" s="59" t="n"/>
      <c r="EX51" s="59" t="n"/>
      <c r="EY51" s="59" t="n"/>
      <c r="EZ51" s="59" t="n"/>
      <c r="FA51" s="59" t="n"/>
      <c r="FB51" s="59" t="n"/>
      <c r="FC51" s="59" t="n"/>
      <c r="FD51" s="59" t="n"/>
      <c r="FE51" s="59" t="n"/>
      <c r="FF51" s="59" t="n"/>
      <c r="FG51" s="59" t="n"/>
      <c r="FH51" s="59" t="n"/>
      <c r="FI51" s="59" t="n"/>
      <c r="FJ51" s="59" t="n"/>
      <c r="FK51" s="59" t="n"/>
      <c r="FL51" s="59" t="n"/>
      <c r="FM51" s="59" t="n"/>
      <c r="FN51" s="59" t="n"/>
      <c r="FO51" s="59" t="n"/>
      <c r="FP51" s="59" t="n"/>
      <c r="FQ51" s="59" t="n"/>
      <c r="FR51" s="59" t="n"/>
      <c r="FS51" s="59" t="n"/>
      <c r="FT51" s="59" t="n"/>
      <c r="FU51" s="59" t="n"/>
      <c r="FV51" s="59" t="n"/>
      <c r="FW51" s="59" t="n"/>
      <c r="FX51" s="59" t="n"/>
      <c r="FY51" s="59" t="n"/>
      <c r="FZ51" s="59" t="n"/>
      <c r="GA51" s="59" t="n"/>
      <c r="GB51" s="59" t="n"/>
      <c r="GC51" s="59" t="n"/>
      <c r="GD51" s="59" t="n"/>
      <c r="GE51" s="59" t="n"/>
      <c r="GF51" s="59" t="n"/>
      <c r="GG51" s="59" t="n"/>
      <c r="GH51" s="59" t="n"/>
      <c r="GI51" s="59" t="n"/>
      <c r="GJ51" s="59" t="n"/>
      <c r="GK51" s="59" t="n"/>
      <c r="GL51" s="59" t="n"/>
      <c r="GM51" s="59" t="n"/>
      <c r="GN51" s="59" t="n"/>
      <c r="GO51" s="59" t="n"/>
      <c r="GP51" s="59" t="n"/>
      <c r="GQ51" s="59" t="n"/>
      <c r="GR51" s="59" t="n"/>
      <c r="GS51" s="59" t="n"/>
      <c r="GT51" s="59" t="n"/>
      <c r="GU51" s="59" t="n"/>
      <c r="GV51" s="59" t="n"/>
      <c r="GW51" s="59" t="n"/>
      <c r="GX51" s="59" t="n"/>
      <c r="GY51" s="59" t="n"/>
      <c r="GZ51" s="59" t="n"/>
      <c r="HA51" s="59" t="n"/>
      <c r="HB51" s="59" t="n"/>
      <c r="HC51" s="59" t="n"/>
      <c r="HD51" s="59" t="n"/>
      <c r="HE51" s="59" t="n"/>
      <c r="HF51" s="59" t="n"/>
      <c r="HG51" s="59" t="n"/>
      <c r="HH51" s="59" t="n"/>
      <c r="HI51" s="59" t="n"/>
      <c r="HJ51" s="59" t="n"/>
      <c r="HK51" s="59" t="n"/>
      <c r="HL51" s="59" t="n"/>
      <c r="HM51" s="59" t="n"/>
      <c r="HN51" s="59" t="n"/>
      <c r="HO51" s="59" t="n"/>
      <c r="HP51" s="59" t="n"/>
      <c r="HQ51" s="59" t="n"/>
      <c r="HR51" s="59" t="n"/>
      <c r="HS51" s="59" t="n"/>
      <c r="HT51" s="59" t="n"/>
      <c r="HU51" s="59" t="n"/>
      <c r="HV51" s="59" t="n"/>
      <c r="HW51" s="59" t="n"/>
      <c r="HX51" s="59" t="n"/>
      <c r="HY51" s="59" t="n"/>
      <c r="HZ51" s="59" t="n"/>
      <c r="IA51" s="59" t="n"/>
      <c r="IB51" s="59" t="n"/>
      <c r="IC51" s="59" t="n"/>
      <c r="ID51" s="59" t="n"/>
      <c r="IE51" s="59" t="n"/>
      <c r="IF51" s="59" t="n"/>
      <c r="IG51" s="59" t="n"/>
    </row>
    <row r="52">
      <c r="A52" s="181" t="n"/>
      <c r="B52" s="181" t="n"/>
      <c r="C52" s="181" t="n"/>
      <c r="D52" s="181" t="n"/>
      <c r="E52" s="181" t="n"/>
      <c r="F52" s="208" t="n">
        <v>46</v>
      </c>
      <c r="G52" s="209">
        <f>$C$39</f>
        <v/>
      </c>
      <c r="H52" s="209">
        <f>(J51*$C$16)/12</f>
        <v/>
      </c>
      <c r="I52" s="209">
        <f>G52-H52</f>
        <v/>
      </c>
      <c r="J52" s="209">
        <f>J51-I52</f>
        <v/>
      </c>
      <c r="K52" s="181" t="n"/>
      <c r="L52" s="181" t="n"/>
      <c r="M52" s="181" t="n"/>
      <c r="N52" s="181" t="n"/>
      <c r="O52" s="181" t="n"/>
      <c r="P52" s="181" t="n"/>
      <c r="Q52" s="181" t="n"/>
      <c r="R52" s="181" t="n"/>
      <c r="S52" s="181" t="n"/>
      <c r="T52" s="181" t="n"/>
      <c r="U52" s="181" t="n"/>
      <c r="V52" s="181" t="n"/>
      <c r="W52" s="181" t="n"/>
      <c r="X52" s="181" t="n"/>
      <c r="Y52" s="181" t="n"/>
      <c r="Z52" s="181" t="n"/>
      <c r="AA52" s="181" t="n"/>
      <c r="AB52" s="181"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59" t="n"/>
      <c r="BZ52" s="59" t="n"/>
      <c r="CA52" s="59" t="n"/>
      <c r="CB52" s="59" t="n"/>
      <c r="CC52" s="59" t="n"/>
      <c r="CD52" s="59" t="n"/>
      <c r="CE52" s="59" t="n"/>
      <c r="CF52" s="59" t="n"/>
      <c r="CG52" s="59" t="n"/>
      <c r="CH52" s="59" t="n"/>
      <c r="CI52" s="59" t="n"/>
      <c r="CJ52" s="59" t="n"/>
      <c r="CK52" s="59" t="n"/>
      <c r="CL52" s="59" t="n"/>
      <c r="CM52" s="59" t="n"/>
      <c r="CN52" s="59" t="n"/>
      <c r="CO52" s="59" t="n"/>
      <c r="CP52" s="59" t="n"/>
      <c r="CQ52" s="59" t="n"/>
      <c r="CR52" s="59" t="n"/>
      <c r="CS52" s="59" t="n"/>
      <c r="CT52" s="59" t="n"/>
      <c r="CU52" s="59" t="n"/>
      <c r="CV52" s="59" t="n"/>
      <c r="CW52" s="59" t="n"/>
      <c r="CX52" s="59" t="n"/>
      <c r="CY52" s="59" t="n"/>
      <c r="CZ52" s="59" t="n"/>
      <c r="DA52" s="59" t="n"/>
      <c r="DB52" s="59" t="n"/>
      <c r="DC52" s="59" t="n"/>
      <c r="DD52" s="59" t="n"/>
      <c r="DE52" s="59" t="n"/>
      <c r="DF52" s="59" t="n"/>
      <c r="DG52" s="59" t="n"/>
      <c r="DH52" s="59" t="n"/>
      <c r="DI52" s="59" t="n"/>
      <c r="DJ52" s="59" t="n"/>
      <c r="DK52" s="59" t="n"/>
      <c r="DL52" s="59" t="n"/>
      <c r="DM52" s="59" t="n"/>
      <c r="DN52" s="59" t="n"/>
      <c r="DO52" s="59" t="n"/>
      <c r="DP52" s="59" t="n"/>
      <c r="DQ52" s="59" t="n"/>
      <c r="DR52" s="59" t="n"/>
      <c r="DS52" s="59" t="n"/>
      <c r="DT52" s="59" t="n"/>
      <c r="DU52" s="59" t="n"/>
      <c r="DV52" s="59" t="n"/>
      <c r="DW52" s="59" t="n"/>
      <c r="DX52" s="59" t="n"/>
      <c r="DY52" s="59" t="n"/>
      <c r="DZ52" s="59" t="n"/>
      <c r="EA52" s="59" t="n"/>
      <c r="EB52" s="59" t="n"/>
      <c r="EC52" s="59" t="n"/>
      <c r="ED52" s="59" t="n"/>
      <c r="EE52" s="59" t="n"/>
      <c r="EF52" s="59" t="n"/>
      <c r="EG52" s="59" t="n"/>
      <c r="EH52" s="59" t="n"/>
      <c r="EI52" s="59" t="n"/>
      <c r="EJ52" s="59" t="n"/>
      <c r="EK52" s="59" t="n"/>
      <c r="EL52" s="59" t="n"/>
      <c r="EM52" s="59" t="n"/>
      <c r="EN52" s="59" t="n"/>
      <c r="EO52" s="59" t="n"/>
      <c r="EP52" s="59" t="n"/>
      <c r="EQ52" s="59" t="n"/>
      <c r="ER52" s="59" t="n"/>
      <c r="ES52" s="59" t="n"/>
      <c r="ET52" s="59" t="n"/>
      <c r="EU52" s="59" t="n"/>
      <c r="EV52" s="59" t="n"/>
      <c r="EW52" s="59" t="n"/>
      <c r="EX52" s="59" t="n"/>
      <c r="EY52" s="59" t="n"/>
      <c r="EZ52" s="59" t="n"/>
      <c r="FA52" s="59" t="n"/>
      <c r="FB52" s="59" t="n"/>
      <c r="FC52" s="59" t="n"/>
      <c r="FD52" s="59" t="n"/>
      <c r="FE52" s="59" t="n"/>
      <c r="FF52" s="59" t="n"/>
      <c r="FG52" s="59" t="n"/>
      <c r="FH52" s="59" t="n"/>
      <c r="FI52" s="59" t="n"/>
      <c r="FJ52" s="59" t="n"/>
      <c r="FK52" s="59" t="n"/>
      <c r="FL52" s="59" t="n"/>
      <c r="FM52" s="59" t="n"/>
      <c r="FN52" s="59" t="n"/>
      <c r="FO52" s="59" t="n"/>
      <c r="FP52" s="59" t="n"/>
      <c r="FQ52" s="59" t="n"/>
      <c r="FR52" s="59" t="n"/>
      <c r="FS52" s="59" t="n"/>
      <c r="FT52" s="59" t="n"/>
      <c r="FU52" s="59" t="n"/>
      <c r="FV52" s="59" t="n"/>
      <c r="FW52" s="59" t="n"/>
      <c r="FX52" s="59" t="n"/>
      <c r="FY52" s="59" t="n"/>
      <c r="FZ52" s="59" t="n"/>
      <c r="GA52" s="59" t="n"/>
      <c r="GB52" s="59" t="n"/>
      <c r="GC52" s="59" t="n"/>
      <c r="GD52" s="59" t="n"/>
      <c r="GE52" s="59" t="n"/>
      <c r="GF52" s="59" t="n"/>
      <c r="GG52" s="59" t="n"/>
      <c r="GH52" s="59" t="n"/>
      <c r="GI52" s="59" t="n"/>
      <c r="GJ52" s="59" t="n"/>
      <c r="GK52" s="59" t="n"/>
      <c r="GL52" s="59" t="n"/>
      <c r="GM52" s="59" t="n"/>
      <c r="GN52" s="59" t="n"/>
      <c r="GO52" s="59" t="n"/>
      <c r="GP52" s="59" t="n"/>
      <c r="GQ52" s="59" t="n"/>
      <c r="GR52" s="59" t="n"/>
      <c r="GS52" s="59" t="n"/>
      <c r="GT52" s="59" t="n"/>
      <c r="GU52" s="59" t="n"/>
      <c r="GV52" s="59" t="n"/>
      <c r="GW52" s="59" t="n"/>
      <c r="GX52" s="59" t="n"/>
      <c r="GY52" s="59" t="n"/>
      <c r="GZ52" s="59" t="n"/>
      <c r="HA52" s="59" t="n"/>
      <c r="HB52" s="59" t="n"/>
      <c r="HC52" s="59" t="n"/>
      <c r="HD52" s="59" t="n"/>
      <c r="HE52" s="59" t="n"/>
      <c r="HF52" s="59" t="n"/>
      <c r="HG52" s="59" t="n"/>
      <c r="HH52" s="59" t="n"/>
      <c r="HI52" s="59" t="n"/>
      <c r="HJ52" s="59" t="n"/>
      <c r="HK52" s="59" t="n"/>
      <c r="HL52" s="59" t="n"/>
      <c r="HM52" s="59" t="n"/>
      <c r="HN52" s="59" t="n"/>
      <c r="HO52" s="59" t="n"/>
      <c r="HP52" s="59" t="n"/>
      <c r="HQ52" s="59" t="n"/>
      <c r="HR52" s="59" t="n"/>
      <c r="HS52" s="59" t="n"/>
      <c r="HT52" s="59" t="n"/>
      <c r="HU52" s="59" t="n"/>
      <c r="HV52" s="59" t="n"/>
      <c r="HW52" s="59" t="n"/>
      <c r="HX52" s="59" t="n"/>
      <c r="HY52" s="59" t="n"/>
      <c r="HZ52" s="59" t="n"/>
      <c r="IA52" s="59" t="n"/>
      <c r="IB52" s="59" t="n"/>
      <c r="IC52" s="59" t="n"/>
      <c r="ID52" s="59" t="n"/>
      <c r="IE52" s="59" t="n"/>
      <c r="IF52" s="59" t="n"/>
      <c r="IG52" s="59" t="n"/>
    </row>
    <row r="53">
      <c r="A53" s="181" t="n"/>
      <c r="B53" s="181" t="n"/>
      <c r="C53" s="181" t="n"/>
      <c r="D53" s="181" t="n"/>
      <c r="E53" s="181" t="n"/>
      <c r="F53" s="208" t="n">
        <v>47</v>
      </c>
      <c r="G53" s="209">
        <f>$C$39</f>
        <v/>
      </c>
      <c r="H53" s="209">
        <f>(J52*$C$16)/12</f>
        <v/>
      </c>
      <c r="I53" s="209">
        <f>G53-H53</f>
        <v/>
      </c>
      <c r="J53" s="209">
        <f>J52-I53</f>
        <v/>
      </c>
      <c r="K53" s="181" t="n"/>
      <c r="L53" s="181" t="n"/>
      <c r="M53" s="181" t="n"/>
      <c r="N53" s="181" t="n"/>
      <c r="O53" s="181" t="n"/>
      <c r="P53" s="181" t="n"/>
      <c r="Q53" s="181" t="n"/>
      <c r="R53" s="181" t="n"/>
      <c r="S53" s="181" t="n"/>
      <c r="T53" s="181" t="n"/>
      <c r="U53" s="181" t="n"/>
      <c r="V53" s="181" t="n"/>
      <c r="W53" s="181" t="n"/>
      <c r="X53" s="181" t="n"/>
      <c r="Y53" s="181" t="n"/>
      <c r="Z53" s="181" t="n"/>
      <c r="AA53" s="181" t="n"/>
      <c r="AB53" s="181"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59" t="n"/>
      <c r="BZ53" s="59" t="n"/>
      <c r="CA53" s="59" t="n"/>
      <c r="CB53" s="59" t="n"/>
      <c r="CC53" s="59" t="n"/>
      <c r="CD53" s="59" t="n"/>
      <c r="CE53" s="59" t="n"/>
      <c r="CF53" s="59" t="n"/>
      <c r="CG53" s="59" t="n"/>
      <c r="CH53" s="59" t="n"/>
      <c r="CI53" s="59" t="n"/>
      <c r="CJ53" s="59" t="n"/>
      <c r="CK53" s="59" t="n"/>
      <c r="CL53" s="59" t="n"/>
      <c r="CM53" s="59" t="n"/>
      <c r="CN53" s="59" t="n"/>
      <c r="CO53" s="59" t="n"/>
      <c r="CP53" s="59" t="n"/>
      <c r="CQ53" s="59" t="n"/>
      <c r="CR53" s="59" t="n"/>
      <c r="CS53" s="59" t="n"/>
      <c r="CT53" s="59" t="n"/>
      <c r="CU53" s="59" t="n"/>
      <c r="CV53" s="59" t="n"/>
      <c r="CW53" s="59" t="n"/>
      <c r="CX53" s="59" t="n"/>
      <c r="CY53" s="59" t="n"/>
      <c r="CZ53" s="59" t="n"/>
      <c r="DA53" s="59" t="n"/>
      <c r="DB53" s="59" t="n"/>
      <c r="DC53" s="59" t="n"/>
      <c r="DD53" s="59" t="n"/>
      <c r="DE53" s="59" t="n"/>
      <c r="DF53" s="59" t="n"/>
      <c r="DG53" s="59" t="n"/>
      <c r="DH53" s="59" t="n"/>
      <c r="DI53" s="59" t="n"/>
      <c r="DJ53" s="59" t="n"/>
      <c r="DK53" s="59" t="n"/>
      <c r="DL53" s="59" t="n"/>
      <c r="DM53" s="59" t="n"/>
      <c r="DN53" s="59" t="n"/>
      <c r="DO53" s="59" t="n"/>
      <c r="DP53" s="59" t="n"/>
      <c r="DQ53" s="59" t="n"/>
      <c r="DR53" s="59" t="n"/>
      <c r="DS53" s="59" t="n"/>
      <c r="DT53" s="59" t="n"/>
      <c r="DU53" s="59" t="n"/>
      <c r="DV53" s="59" t="n"/>
      <c r="DW53" s="59" t="n"/>
      <c r="DX53" s="59" t="n"/>
      <c r="DY53" s="59" t="n"/>
      <c r="DZ53" s="59" t="n"/>
      <c r="EA53" s="59" t="n"/>
      <c r="EB53" s="59" t="n"/>
      <c r="EC53" s="59" t="n"/>
      <c r="ED53" s="59" t="n"/>
      <c r="EE53" s="59" t="n"/>
      <c r="EF53" s="59" t="n"/>
      <c r="EG53" s="59" t="n"/>
      <c r="EH53" s="59" t="n"/>
      <c r="EI53" s="59" t="n"/>
      <c r="EJ53" s="59" t="n"/>
      <c r="EK53" s="59" t="n"/>
      <c r="EL53" s="59" t="n"/>
      <c r="EM53" s="59" t="n"/>
      <c r="EN53" s="59" t="n"/>
      <c r="EO53" s="59" t="n"/>
      <c r="EP53" s="59" t="n"/>
      <c r="EQ53" s="59" t="n"/>
      <c r="ER53" s="59" t="n"/>
      <c r="ES53" s="59" t="n"/>
      <c r="ET53" s="59" t="n"/>
      <c r="EU53" s="59" t="n"/>
      <c r="EV53" s="59" t="n"/>
      <c r="EW53" s="59" t="n"/>
      <c r="EX53" s="59" t="n"/>
      <c r="EY53" s="59" t="n"/>
      <c r="EZ53" s="59" t="n"/>
      <c r="FA53" s="59" t="n"/>
      <c r="FB53" s="59" t="n"/>
      <c r="FC53" s="59" t="n"/>
      <c r="FD53" s="59" t="n"/>
      <c r="FE53" s="59" t="n"/>
      <c r="FF53" s="59" t="n"/>
      <c r="FG53" s="59" t="n"/>
      <c r="FH53" s="59" t="n"/>
      <c r="FI53" s="59" t="n"/>
      <c r="FJ53" s="59" t="n"/>
      <c r="FK53" s="59" t="n"/>
      <c r="FL53" s="59" t="n"/>
      <c r="FM53" s="59" t="n"/>
      <c r="FN53" s="59" t="n"/>
      <c r="FO53" s="59" t="n"/>
      <c r="FP53" s="59" t="n"/>
      <c r="FQ53" s="59" t="n"/>
      <c r="FR53" s="59" t="n"/>
      <c r="FS53" s="59" t="n"/>
      <c r="FT53" s="59" t="n"/>
      <c r="FU53" s="59" t="n"/>
      <c r="FV53" s="59" t="n"/>
      <c r="FW53" s="59" t="n"/>
      <c r="FX53" s="59" t="n"/>
      <c r="FY53" s="59" t="n"/>
      <c r="FZ53" s="59" t="n"/>
      <c r="GA53" s="59" t="n"/>
      <c r="GB53" s="59" t="n"/>
      <c r="GC53" s="59" t="n"/>
      <c r="GD53" s="59" t="n"/>
      <c r="GE53" s="59" t="n"/>
      <c r="GF53" s="59" t="n"/>
      <c r="GG53" s="59" t="n"/>
      <c r="GH53" s="59" t="n"/>
      <c r="GI53" s="59" t="n"/>
      <c r="GJ53" s="59" t="n"/>
      <c r="GK53" s="59" t="n"/>
      <c r="GL53" s="59" t="n"/>
      <c r="GM53" s="59" t="n"/>
      <c r="GN53" s="59" t="n"/>
      <c r="GO53" s="59" t="n"/>
      <c r="GP53" s="59" t="n"/>
      <c r="GQ53" s="59" t="n"/>
      <c r="GR53" s="59" t="n"/>
      <c r="GS53" s="59" t="n"/>
      <c r="GT53" s="59" t="n"/>
      <c r="GU53" s="59" t="n"/>
      <c r="GV53" s="59" t="n"/>
      <c r="GW53" s="59" t="n"/>
      <c r="GX53" s="59" t="n"/>
      <c r="GY53" s="59" t="n"/>
      <c r="GZ53" s="59" t="n"/>
      <c r="HA53" s="59" t="n"/>
      <c r="HB53" s="59" t="n"/>
      <c r="HC53" s="59" t="n"/>
      <c r="HD53" s="59" t="n"/>
      <c r="HE53" s="59" t="n"/>
      <c r="HF53" s="59" t="n"/>
      <c r="HG53" s="59" t="n"/>
      <c r="HH53" s="59" t="n"/>
      <c r="HI53" s="59" t="n"/>
      <c r="HJ53" s="59" t="n"/>
      <c r="HK53" s="59" t="n"/>
      <c r="HL53" s="59" t="n"/>
      <c r="HM53" s="59" t="n"/>
      <c r="HN53" s="59" t="n"/>
      <c r="HO53" s="59" t="n"/>
      <c r="HP53" s="59" t="n"/>
      <c r="HQ53" s="59" t="n"/>
      <c r="HR53" s="59" t="n"/>
      <c r="HS53" s="59" t="n"/>
      <c r="HT53" s="59" t="n"/>
      <c r="HU53" s="59" t="n"/>
      <c r="HV53" s="59" t="n"/>
      <c r="HW53" s="59" t="n"/>
      <c r="HX53" s="59" t="n"/>
      <c r="HY53" s="59" t="n"/>
      <c r="HZ53" s="59" t="n"/>
      <c r="IA53" s="59" t="n"/>
      <c r="IB53" s="59" t="n"/>
      <c r="IC53" s="59" t="n"/>
      <c r="ID53" s="59" t="n"/>
      <c r="IE53" s="59" t="n"/>
      <c r="IF53" s="59" t="n"/>
      <c r="IG53" s="59" t="n"/>
    </row>
    <row r="54">
      <c r="A54" s="181" t="n"/>
      <c r="B54" s="181" t="n"/>
      <c r="C54" s="181" t="n"/>
      <c r="D54" s="181" t="n"/>
      <c r="E54" s="181" t="n"/>
      <c r="F54" s="491" t="n">
        <v>48</v>
      </c>
      <c r="G54" s="492">
        <f>$C$39</f>
        <v/>
      </c>
      <c r="H54" s="492">
        <f>(J53*$C$16)/12</f>
        <v/>
      </c>
      <c r="I54" s="492">
        <f>G54-H54</f>
        <v/>
      </c>
      <c r="J54" s="492">
        <f>J53-I54</f>
        <v/>
      </c>
      <c r="K54" s="181" t="n"/>
      <c r="L54" s="181" t="n"/>
      <c r="M54" s="181" t="n"/>
      <c r="N54" s="181" t="n"/>
      <c r="O54" s="181" t="n"/>
      <c r="P54" s="181" t="n"/>
      <c r="Q54" s="181" t="n"/>
      <c r="R54" s="181" t="n"/>
      <c r="S54" s="181" t="n"/>
      <c r="T54" s="181" t="n"/>
      <c r="U54" s="181" t="n"/>
      <c r="V54" s="181" t="n"/>
      <c r="W54" s="181" t="n"/>
      <c r="X54" s="181" t="n"/>
      <c r="Y54" s="181" t="n"/>
      <c r="Z54" s="181" t="n"/>
      <c r="AA54" s="181" t="n"/>
      <c r="AB54" s="181"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59" t="n"/>
      <c r="BZ54" s="59" t="n"/>
      <c r="CA54" s="59" t="n"/>
      <c r="CB54" s="59" t="n"/>
      <c r="CC54" s="59" t="n"/>
      <c r="CD54" s="59" t="n"/>
      <c r="CE54" s="59" t="n"/>
      <c r="CF54" s="59" t="n"/>
      <c r="CG54" s="59" t="n"/>
      <c r="CH54" s="59" t="n"/>
      <c r="CI54" s="59" t="n"/>
      <c r="CJ54" s="59" t="n"/>
      <c r="CK54" s="59" t="n"/>
      <c r="CL54" s="59" t="n"/>
      <c r="CM54" s="59" t="n"/>
      <c r="CN54" s="59" t="n"/>
      <c r="CO54" s="59" t="n"/>
      <c r="CP54" s="59" t="n"/>
      <c r="CQ54" s="59" t="n"/>
      <c r="CR54" s="59" t="n"/>
      <c r="CS54" s="59" t="n"/>
      <c r="CT54" s="59" t="n"/>
      <c r="CU54" s="59" t="n"/>
      <c r="CV54" s="59" t="n"/>
      <c r="CW54" s="59" t="n"/>
      <c r="CX54" s="59" t="n"/>
      <c r="CY54" s="59" t="n"/>
      <c r="CZ54" s="59" t="n"/>
      <c r="DA54" s="59" t="n"/>
      <c r="DB54" s="59" t="n"/>
      <c r="DC54" s="59" t="n"/>
      <c r="DD54" s="59" t="n"/>
      <c r="DE54" s="59" t="n"/>
      <c r="DF54" s="59" t="n"/>
      <c r="DG54" s="59" t="n"/>
      <c r="DH54" s="59" t="n"/>
      <c r="DI54" s="59" t="n"/>
      <c r="DJ54" s="59" t="n"/>
      <c r="DK54" s="59" t="n"/>
      <c r="DL54" s="59" t="n"/>
      <c r="DM54" s="59" t="n"/>
      <c r="DN54" s="59" t="n"/>
      <c r="DO54" s="59" t="n"/>
      <c r="DP54" s="59" t="n"/>
      <c r="DQ54" s="59" t="n"/>
      <c r="DR54" s="59" t="n"/>
      <c r="DS54" s="59" t="n"/>
      <c r="DT54" s="59" t="n"/>
      <c r="DU54" s="59" t="n"/>
      <c r="DV54" s="59" t="n"/>
      <c r="DW54" s="59" t="n"/>
      <c r="DX54" s="59" t="n"/>
      <c r="DY54" s="59" t="n"/>
      <c r="DZ54" s="59" t="n"/>
      <c r="EA54" s="59" t="n"/>
      <c r="EB54" s="59" t="n"/>
      <c r="EC54" s="59" t="n"/>
      <c r="ED54" s="59" t="n"/>
      <c r="EE54" s="59" t="n"/>
      <c r="EF54" s="59" t="n"/>
      <c r="EG54" s="59" t="n"/>
      <c r="EH54" s="59" t="n"/>
      <c r="EI54" s="59" t="n"/>
      <c r="EJ54" s="59" t="n"/>
      <c r="EK54" s="59" t="n"/>
      <c r="EL54" s="59" t="n"/>
      <c r="EM54" s="59" t="n"/>
      <c r="EN54" s="59" t="n"/>
      <c r="EO54" s="59" t="n"/>
      <c r="EP54" s="59" t="n"/>
      <c r="EQ54" s="59" t="n"/>
      <c r="ER54" s="59" t="n"/>
      <c r="ES54" s="59" t="n"/>
      <c r="ET54" s="59" t="n"/>
      <c r="EU54" s="59" t="n"/>
      <c r="EV54" s="59" t="n"/>
      <c r="EW54" s="59" t="n"/>
      <c r="EX54" s="59" t="n"/>
      <c r="EY54" s="59" t="n"/>
      <c r="EZ54" s="59" t="n"/>
      <c r="FA54" s="59" t="n"/>
      <c r="FB54" s="59" t="n"/>
      <c r="FC54" s="59" t="n"/>
      <c r="FD54" s="59" t="n"/>
      <c r="FE54" s="59" t="n"/>
      <c r="FF54" s="59" t="n"/>
      <c r="FG54" s="59" t="n"/>
      <c r="FH54" s="59" t="n"/>
      <c r="FI54" s="59" t="n"/>
      <c r="FJ54" s="59" t="n"/>
      <c r="FK54" s="59" t="n"/>
      <c r="FL54" s="59" t="n"/>
      <c r="FM54" s="59" t="n"/>
      <c r="FN54" s="59" t="n"/>
      <c r="FO54" s="59" t="n"/>
      <c r="FP54" s="59" t="n"/>
      <c r="FQ54" s="59" t="n"/>
      <c r="FR54" s="59" t="n"/>
      <c r="FS54" s="59" t="n"/>
      <c r="FT54" s="59" t="n"/>
      <c r="FU54" s="59" t="n"/>
      <c r="FV54" s="59" t="n"/>
      <c r="FW54" s="59" t="n"/>
      <c r="FX54" s="59" t="n"/>
      <c r="FY54" s="59" t="n"/>
      <c r="FZ54" s="59" t="n"/>
      <c r="GA54" s="59" t="n"/>
      <c r="GB54" s="59" t="n"/>
      <c r="GC54" s="59" t="n"/>
      <c r="GD54" s="59" t="n"/>
      <c r="GE54" s="59" t="n"/>
      <c r="GF54" s="59" t="n"/>
      <c r="GG54" s="59" t="n"/>
      <c r="GH54" s="59" t="n"/>
      <c r="GI54" s="59" t="n"/>
      <c r="GJ54" s="59" t="n"/>
      <c r="GK54" s="59" t="n"/>
      <c r="GL54" s="59" t="n"/>
      <c r="GM54" s="59" t="n"/>
      <c r="GN54" s="59" t="n"/>
      <c r="GO54" s="59" t="n"/>
      <c r="GP54" s="59" t="n"/>
      <c r="GQ54" s="59" t="n"/>
      <c r="GR54" s="59" t="n"/>
      <c r="GS54" s="59" t="n"/>
      <c r="GT54" s="59" t="n"/>
      <c r="GU54" s="59" t="n"/>
      <c r="GV54" s="59" t="n"/>
      <c r="GW54" s="59" t="n"/>
      <c r="GX54" s="59" t="n"/>
      <c r="GY54" s="59" t="n"/>
      <c r="GZ54" s="59" t="n"/>
      <c r="HA54" s="59" t="n"/>
      <c r="HB54" s="59" t="n"/>
      <c r="HC54" s="59" t="n"/>
      <c r="HD54" s="59" t="n"/>
      <c r="HE54" s="59" t="n"/>
      <c r="HF54" s="59" t="n"/>
      <c r="HG54" s="59" t="n"/>
      <c r="HH54" s="59" t="n"/>
      <c r="HI54" s="59" t="n"/>
      <c r="HJ54" s="59" t="n"/>
      <c r="HK54" s="59" t="n"/>
      <c r="HL54" s="59" t="n"/>
      <c r="HM54" s="59" t="n"/>
      <c r="HN54" s="59" t="n"/>
      <c r="HO54" s="59" t="n"/>
      <c r="HP54" s="59" t="n"/>
      <c r="HQ54" s="59" t="n"/>
      <c r="HR54" s="59" t="n"/>
      <c r="HS54" s="59" t="n"/>
      <c r="HT54" s="59" t="n"/>
      <c r="HU54" s="59" t="n"/>
      <c r="HV54" s="59" t="n"/>
      <c r="HW54" s="59" t="n"/>
      <c r="HX54" s="59" t="n"/>
      <c r="HY54" s="59" t="n"/>
      <c r="HZ54" s="59" t="n"/>
      <c r="IA54" s="59" t="n"/>
      <c r="IB54" s="59" t="n"/>
      <c r="IC54" s="59" t="n"/>
      <c r="ID54" s="59" t="n"/>
      <c r="IE54" s="59" t="n"/>
      <c r="IF54" s="59" t="n"/>
      <c r="IG54" s="59" t="n"/>
    </row>
    <row r="55">
      <c r="A55" s="181" t="n"/>
      <c r="B55" s="181" t="n"/>
      <c r="C55" s="181" t="n"/>
      <c r="D55" s="181" t="n"/>
      <c r="E55" s="181" t="n"/>
      <c r="F55" s="208" t="n">
        <v>49</v>
      </c>
      <c r="G55" s="209">
        <f>$C$39</f>
        <v/>
      </c>
      <c r="H55" s="209">
        <f>(J54*$C$16)/12</f>
        <v/>
      </c>
      <c r="I55" s="209">
        <f>G55-H55</f>
        <v/>
      </c>
      <c r="J55" s="209">
        <f>J54-I55</f>
        <v/>
      </c>
      <c r="K55" s="181" t="n"/>
      <c r="L55" s="181" t="n"/>
      <c r="M55" s="181" t="n"/>
      <c r="N55" s="181" t="n"/>
      <c r="O55" s="181" t="n"/>
      <c r="P55" s="181" t="n"/>
      <c r="Q55" s="181" t="n"/>
      <c r="R55" s="181" t="n"/>
      <c r="S55" s="181" t="n"/>
      <c r="T55" s="181" t="n"/>
      <c r="U55" s="181" t="n"/>
      <c r="V55" s="181" t="n"/>
      <c r="W55" s="181" t="n"/>
      <c r="X55" s="181" t="n"/>
      <c r="Y55" s="181" t="n"/>
      <c r="Z55" s="181" t="n"/>
      <c r="AA55" s="181" t="n"/>
      <c r="AB55" s="181"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59" t="n"/>
      <c r="BZ55" s="59" t="n"/>
      <c r="CA55" s="59" t="n"/>
      <c r="CB55" s="59" t="n"/>
      <c r="CC55" s="59" t="n"/>
      <c r="CD55" s="59" t="n"/>
      <c r="CE55" s="59" t="n"/>
      <c r="CF55" s="59" t="n"/>
      <c r="CG55" s="59" t="n"/>
      <c r="CH55" s="59" t="n"/>
      <c r="CI55" s="59" t="n"/>
      <c r="CJ55" s="59" t="n"/>
      <c r="CK55" s="59" t="n"/>
      <c r="CL55" s="59" t="n"/>
      <c r="CM55" s="59" t="n"/>
      <c r="CN55" s="59" t="n"/>
      <c r="CO55" s="59" t="n"/>
      <c r="CP55" s="59" t="n"/>
      <c r="CQ55" s="59" t="n"/>
      <c r="CR55" s="59" t="n"/>
      <c r="CS55" s="59" t="n"/>
      <c r="CT55" s="59" t="n"/>
      <c r="CU55" s="59" t="n"/>
      <c r="CV55" s="59" t="n"/>
      <c r="CW55" s="59" t="n"/>
      <c r="CX55" s="59" t="n"/>
      <c r="CY55" s="59" t="n"/>
      <c r="CZ55" s="59" t="n"/>
      <c r="DA55" s="59" t="n"/>
      <c r="DB55" s="59" t="n"/>
      <c r="DC55" s="59" t="n"/>
      <c r="DD55" s="59" t="n"/>
      <c r="DE55" s="59" t="n"/>
      <c r="DF55" s="59" t="n"/>
      <c r="DG55" s="59" t="n"/>
      <c r="DH55" s="59" t="n"/>
      <c r="DI55" s="59" t="n"/>
      <c r="DJ55" s="59" t="n"/>
      <c r="DK55" s="59" t="n"/>
      <c r="DL55" s="59" t="n"/>
      <c r="DM55" s="59" t="n"/>
      <c r="DN55" s="59" t="n"/>
      <c r="DO55" s="59" t="n"/>
      <c r="DP55" s="59" t="n"/>
      <c r="DQ55" s="59" t="n"/>
      <c r="DR55" s="59" t="n"/>
      <c r="DS55" s="59" t="n"/>
      <c r="DT55" s="59" t="n"/>
      <c r="DU55" s="59" t="n"/>
      <c r="DV55" s="59" t="n"/>
      <c r="DW55" s="59" t="n"/>
      <c r="DX55" s="59" t="n"/>
      <c r="DY55" s="59" t="n"/>
      <c r="DZ55" s="59" t="n"/>
      <c r="EA55" s="59" t="n"/>
      <c r="EB55" s="59" t="n"/>
      <c r="EC55" s="59" t="n"/>
      <c r="ED55" s="59" t="n"/>
      <c r="EE55" s="59" t="n"/>
      <c r="EF55" s="59" t="n"/>
      <c r="EG55" s="59" t="n"/>
      <c r="EH55" s="59" t="n"/>
      <c r="EI55" s="59" t="n"/>
      <c r="EJ55" s="59" t="n"/>
      <c r="EK55" s="59" t="n"/>
      <c r="EL55" s="59" t="n"/>
      <c r="EM55" s="59" t="n"/>
      <c r="EN55" s="59" t="n"/>
      <c r="EO55" s="59" t="n"/>
      <c r="EP55" s="59" t="n"/>
      <c r="EQ55" s="59" t="n"/>
      <c r="ER55" s="59" t="n"/>
      <c r="ES55" s="59" t="n"/>
      <c r="ET55" s="59" t="n"/>
      <c r="EU55" s="59" t="n"/>
      <c r="EV55" s="59" t="n"/>
      <c r="EW55" s="59" t="n"/>
      <c r="EX55" s="59" t="n"/>
      <c r="EY55" s="59" t="n"/>
      <c r="EZ55" s="59" t="n"/>
      <c r="FA55" s="59" t="n"/>
      <c r="FB55" s="59" t="n"/>
      <c r="FC55" s="59" t="n"/>
      <c r="FD55" s="59" t="n"/>
      <c r="FE55" s="59" t="n"/>
      <c r="FF55" s="59" t="n"/>
      <c r="FG55" s="59" t="n"/>
      <c r="FH55" s="59" t="n"/>
      <c r="FI55" s="59" t="n"/>
      <c r="FJ55" s="59" t="n"/>
      <c r="FK55" s="59" t="n"/>
      <c r="FL55" s="59" t="n"/>
      <c r="FM55" s="59" t="n"/>
      <c r="FN55" s="59" t="n"/>
      <c r="FO55" s="59" t="n"/>
      <c r="FP55" s="59" t="n"/>
      <c r="FQ55" s="59" t="n"/>
      <c r="FR55" s="59" t="n"/>
      <c r="FS55" s="59" t="n"/>
      <c r="FT55" s="59" t="n"/>
      <c r="FU55" s="59" t="n"/>
      <c r="FV55" s="59" t="n"/>
      <c r="FW55" s="59" t="n"/>
      <c r="FX55" s="59" t="n"/>
      <c r="FY55" s="59" t="n"/>
      <c r="FZ55" s="59" t="n"/>
      <c r="GA55" s="59" t="n"/>
      <c r="GB55" s="59" t="n"/>
      <c r="GC55" s="59" t="n"/>
      <c r="GD55" s="59" t="n"/>
      <c r="GE55" s="59" t="n"/>
      <c r="GF55" s="59" t="n"/>
      <c r="GG55" s="59" t="n"/>
      <c r="GH55" s="59" t="n"/>
      <c r="GI55" s="59" t="n"/>
      <c r="GJ55" s="59" t="n"/>
      <c r="GK55" s="59" t="n"/>
      <c r="GL55" s="59" t="n"/>
      <c r="GM55" s="59" t="n"/>
      <c r="GN55" s="59" t="n"/>
      <c r="GO55" s="59" t="n"/>
      <c r="GP55" s="59" t="n"/>
      <c r="GQ55" s="59" t="n"/>
      <c r="GR55" s="59" t="n"/>
      <c r="GS55" s="59" t="n"/>
      <c r="GT55" s="59" t="n"/>
      <c r="GU55" s="59" t="n"/>
      <c r="GV55" s="59" t="n"/>
      <c r="GW55" s="59" t="n"/>
      <c r="GX55" s="59" t="n"/>
      <c r="GY55" s="59" t="n"/>
      <c r="GZ55" s="59" t="n"/>
      <c r="HA55" s="59" t="n"/>
      <c r="HB55" s="59" t="n"/>
      <c r="HC55" s="59" t="n"/>
      <c r="HD55" s="59" t="n"/>
      <c r="HE55" s="59" t="n"/>
      <c r="HF55" s="59" t="n"/>
      <c r="HG55" s="59" t="n"/>
      <c r="HH55" s="59" t="n"/>
      <c r="HI55" s="59" t="n"/>
      <c r="HJ55" s="59" t="n"/>
      <c r="HK55" s="59" t="n"/>
      <c r="HL55" s="59" t="n"/>
      <c r="HM55" s="59" t="n"/>
      <c r="HN55" s="59" t="n"/>
      <c r="HO55" s="59" t="n"/>
      <c r="HP55" s="59" t="n"/>
      <c r="HQ55" s="59" t="n"/>
      <c r="HR55" s="59" t="n"/>
      <c r="HS55" s="59" t="n"/>
      <c r="HT55" s="59" t="n"/>
      <c r="HU55" s="59" t="n"/>
      <c r="HV55" s="59" t="n"/>
      <c r="HW55" s="59" t="n"/>
      <c r="HX55" s="59" t="n"/>
      <c r="HY55" s="59" t="n"/>
      <c r="HZ55" s="59" t="n"/>
      <c r="IA55" s="59" t="n"/>
      <c r="IB55" s="59" t="n"/>
      <c r="IC55" s="59" t="n"/>
      <c r="ID55" s="59" t="n"/>
      <c r="IE55" s="59" t="n"/>
      <c r="IF55" s="59" t="n"/>
      <c r="IG55" s="59" t="n"/>
    </row>
    <row r="56">
      <c r="A56" s="181" t="n"/>
      <c r="B56" s="181" t="n"/>
      <c r="C56" s="181" t="n"/>
      <c r="D56" s="181" t="n"/>
      <c r="E56" s="181" t="n"/>
      <c r="F56" s="208" t="n">
        <v>50</v>
      </c>
      <c r="G56" s="209">
        <f>$C$39</f>
        <v/>
      </c>
      <c r="H56" s="209">
        <f>(J55*$C$16)/12</f>
        <v/>
      </c>
      <c r="I56" s="209">
        <f>G56-H56</f>
        <v/>
      </c>
      <c r="J56" s="209">
        <f>J55-I56</f>
        <v/>
      </c>
      <c r="K56" s="181" t="n"/>
      <c r="L56" s="181" t="n"/>
      <c r="M56" s="181" t="n"/>
      <c r="N56" s="181" t="n"/>
      <c r="O56" s="181" t="n"/>
      <c r="P56" s="181" t="n"/>
      <c r="Q56" s="181" t="n"/>
      <c r="R56" s="181" t="n"/>
      <c r="S56" s="181" t="n"/>
      <c r="T56" s="181" t="n"/>
      <c r="U56" s="181" t="n"/>
      <c r="V56" s="181" t="n"/>
      <c r="W56" s="181" t="n"/>
      <c r="X56" s="181" t="n"/>
      <c r="Y56" s="181" t="n"/>
      <c r="Z56" s="181" t="n"/>
      <c r="AA56" s="181" t="n"/>
      <c r="AB56" s="181"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59" t="n"/>
      <c r="CV56" s="59" t="n"/>
      <c r="CW56" s="59" t="n"/>
      <c r="CX56" s="59" t="n"/>
      <c r="CY56" s="59" t="n"/>
      <c r="CZ56" s="59" t="n"/>
      <c r="DA56" s="59" t="n"/>
      <c r="DB56" s="59" t="n"/>
      <c r="DC56" s="59" t="n"/>
      <c r="DD56" s="59" t="n"/>
      <c r="DE56" s="59" t="n"/>
      <c r="DF56" s="59" t="n"/>
      <c r="DG56" s="59" t="n"/>
      <c r="DH56" s="59" t="n"/>
      <c r="DI56" s="59" t="n"/>
      <c r="DJ56" s="59" t="n"/>
      <c r="DK56" s="59" t="n"/>
      <c r="DL56" s="59" t="n"/>
      <c r="DM56" s="59" t="n"/>
      <c r="DN56" s="59" t="n"/>
      <c r="DO56" s="59" t="n"/>
      <c r="DP56" s="59" t="n"/>
      <c r="DQ56" s="59" t="n"/>
      <c r="DR56" s="59" t="n"/>
      <c r="DS56" s="59" t="n"/>
      <c r="DT56" s="59" t="n"/>
      <c r="DU56" s="59" t="n"/>
      <c r="DV56" s="59" t="n"/>
      <c r="DW56" s="59" t="n"/>
      <c r="DX56" s="59" t="n"/>
      <c r="DY56" s="59" t="n"/>
      <c r="DZ56" s="59" t="n"/>
      <c r="EA56" s="59" t="n"/>
      <c r="EB56" s="59" t="n"/>
      <c r="EC56" s="59" t="n"/>
      <c r="ED56" s="59" t="n"/>
      <c r="EE56" s="59" t="n"/>
      <c r="EF56" s="59" t="n"/>
      <c r="EG56" s="59" t="n"/>
      <c r="EH56" s="59" t="n"/>
      <c r="EI56" s="59" t="n"/>
      <c r="EJ56" s="59" t="n"/>
      <c r="EK56" s="59" t="n"/>
      <c r="EL56" s="59" t="n"/>
      <c r="EM56" s="59" t="n"/>
      <c r="EN56" s="59" t="n"/>
      <c r="EO56" s="59" t="n"/>
      <c r="EP56" s="59" t="n"/>
      <c r="EQ56" s="59" t="n"/>
      <c r="ER56" s="59" t="n"/>
      <c r="ES56" s="59" t="n"/>
      <c r="ET56" s="59" t="n"/>
      <c r="EU56" s="59" t="n"/>
      <c r="EV56" s="59" t="n"/>
      <c r="EW56" s="59" t="n"/>
      <c r="EX56" s="59" t="n"/>
      <c r="EY56" s="59" t="n"/>
      <c r="EZ56" s="59" t="n"/>
      <c r="FA56" s="59" t="n"/>
      <c r="FB56" s="59" t="n"/>
      <c r="FC56" s="59" t="n"/>
      <c r="FD56" s="59" t="n"/>
      <c r="FE56" s="59" t="n"/>
      <c r="FF56" s="59" t="n"/>
      <c r="FG56" s="59" t="n"/>
      <c r="FH56" s="59" t="n"/>
      <c r="FI56" s="59" t="n"/>
      <c r="FJ56" s="59" t="n"/>
      <c r="FK56" s="59" t="n"/>
      <c r="FL56" s="59" t="n"/>
      <c r="FM56" s="59" t="n"/>
      <c r="FN56" s="59" t="n"/>
      <c r="FO56" s="59" t="n"/>
      <c r="FP56" s="59" t="n"/>
      <c r="FQ56" s="59" t="n"/>
      <c r="FR56" s="59" t="n"/>
      <c r="FS56" s="59" t="n"/>
      <c r="FT56" s="59" t="n"/>
      <c r="FU56" s="59" t="n"/>
      <c r="FV56" s="59" t="n"/>
      <c r="FW56" s="59" t="n"/>
      <c r="FX56" s="59" t="n"/>
      <c r="FY56" s="59" t="n"/>
      <c r="FZ56" s="59" t="n"/>
      <c r="GA56" s="59" t="n"/>
      <c r="GB56" s="59" t="n"/>
      <c r="GC56" s="59" t="n"/>
      <c r="GD56" s="59" t="n"/>
      <c r="GE56" s="59" t="n"/>
      <c r="GF56" s="59" t="n"/>
      <c r="GG56" s="59" t="n"/>
      <c r="GH56" s="59" t="n"/>
      <c r="GI56" s="59" t="n"/>
      <c r="GJ56" s="59" t="n"/>
      <c r="GK56" s="59" t="n"/>
      <c r="GL56" s="59" t="n"/>
      <c r="GM56" s="59" t="n"/>
      <c r="GN56" s="59" t="n"/>
      <c r="GO56" s="59" t="n"/>
      <c r="GP56" s="59" t="n"/>
      <c r="GQ56" s="59" t="n"/>
      <c r="GR56" s="59" t="n"/>
      <c r="GS56" s="59" t="n"/>
      <c r="GT56" s="59" t="n"/>
      <c r="GU56" s="59" t="n"/>
      <c r="GV56" s="59" t="n"/>
      <c r="GW56" s="59" t="n"/>
      <c r="GX56" s="59" t="n"/>
      <c r="GY56" s="59" t="n"/>
      <c r="GZ56" s="59" t="n"/>
      <c r="HA56" s="59" t="n"/>
      <c r="HB56" s="59" t="n"/>
      <c r="HC56" s="59" t="n"/>
      <c r="HD56" s="59" t="n"/>
      <c r="HE56" s="59" t="n"/>
      <c r="HF56" s="59" t="n"/>
      <c r="HG56" s="59" t="n"/>
      <c r="HH56" s="59" t="n"/>
      <c r="HI56" s="59" t="n"/>
      <c r="HJ56" s="59" t="n"/>
      <c r="HK56" s="59" t="n"/>
      <c r="HL56" s="59" t="n"/>
      <c r="HM56" s="59" t="n"/>
      <c r="HN56" s="59" t="n"/>
      <c r="HO56" s="59" t="n"/>
      <c r="HP56" s="59" t="n"/>
      <c r="HQ56" s="59" t="n"/>
      <c r="HR56" s="59" t="n"/>
      <c r="HS56" s="59" t="n"/>
      <c r="HT56" s="59" t="n"/>
      <c r="HU56" s="59" t="n"/>
      <c r="HV56" s="59" t="n"/>
      <c r="HW56" s="59" t="n"/>
      <c r="HX56" s="59" t="n"/>
      <c r="HY56" s="59" t="n"/>
      <c r="HZ56" s="59" t="n"/>
      <c r="IA56" s="59" t="n"/>
      <c r="IB56" s="59" t="n"/>
      <c r="IC56" s="59" t="n"/>
      <c r="ID56" s="59" t="n"/>
      <c r="IE56" s="59" t="n"/>
      <c r="IF56" s="59" t="n"/>
      <c r="IG56" s="59" t="n"/>
    </row>
    <row r="57">
      <c r="A57" s="181" t="n"/>
      <c r="B57" s="181" t="n"/>
      <c r="C57" s="181" t="n"/>
      <c r="D57" s="181" t="n"/>
      <c r="E57" s="181" t="n"/>
      <c r="F57" s="208" t="n">
        <v>51</v>
      </c>
      <c r="G57" s="209">
        <f>$C$39</f>
        <v/>
      </c>
      <c r="H57" s="209">
        <f>(J56*$C$16)/12</f>
        <v/>
      </c>
      <c r="I57" s="209">
        <f>G57-H57</f>
        <v/>
      </c>
      <c r="J57" s="209">
        <f>J56-I57</f>
        <v/>
      </c>
      <c r="K57" s="181" t="n"/>
      <c r="L57" s="181" t="n"/>
      <c r="M57" s="181" t="n"/>
      <c r="N57" s="181" t="n"/>
      <c r="O57" s="181" t="n"/>
      <c r="P57" s="181" t="n"/>
      <c r="Q57" s="181" t="n"/>
      <c r="R57" s="181" t="n"/>
      <c r="S57" s="181" t="n"/>
      <c r="T57" s="181" t="n"/>
      <c r="U57" s="181" t="n"/>
      <c r="V57" s="181" t="n"/>
      <c r="W57" s="181" t="n"/>
      <c r="X57" s="181" t="n"/>
      <c r="Y57" s="181" t="n"/>
      <c r="Z57" s="181" t="n"/>
      <c r="AA57" s="181" t="n"/>
      <c r="AB57" s="181"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59" t="n"/>
      <c r="BZ57" s="59" t="n"/>
      <c r="CA57" s="59" t="n"/>
      <c r="CB57" s="59" t="n"/>
      <c r="CC57" s="59" t="n"/>
      <c r="CD57" s="59" t="n"/>
      <c r="CE57" s="59" t="n"/>
      <c r="CF57" s="59" t="n"/>
      <c r="CG57" s="59" t="n"/>
      <c r="CH57" s="59" t="n"/>
      <c r="CI57" s="59" t="n"/>
      <c r="CJ57" s="59" t="n"/>
      <c r="CK57" s="59" t="n"/>
      <c r="CL57" s="59" t="n"/>
      <c r="CM57" s="59" t="n"/>
      <c r="CN57" s="59" t="n"/>
      <c r="CO57" s="59" t="n"/>
      <c r="CP57" s="59" t="n"/>
      <c r="CQ57" s="59" t="n"/>
      <c r="CR57" s="59" t="n"/>
      <c r="CS57" s="59" t="n"/>
      <c r="CT57" s="59" t="n"/>
      <c r="CU57" s="59" t="n"/>
      <c r="CV57" s="59" t="n"/>
      <c r="CW57" s="59" t="n"/>
      <c r="CX57" s="59" t="n"/>
      <c r="CY57" s="59" t="n"/>
      <c r="CZ57" s="59" t="n"/>
      <c r="DA57" s="59" t="n"/>
      <c r="DB57" s="59" t="n"/>
      <c r="DC57" s="59" t="n"/>
      <c r="DD57" s="59" t="n"/>
      <c r="DE57" s="59" t="n"/>
      <c r="DF57" s="59" t="n"/>
      <c r="DG57" s="59" t="n"/>
      <c r="DH57" s="59" t="n"/>
      <c r="DI57" s="59" t="n"/>
      <c r="DJ57" s="59" t="n"/>
      <c r="DK57" s="59" t="n"/>
      <c r="DL57" s="59" t="n"/>
      <c r="DM57" s="59" t="n"/>
      <c r="DN57" s="59" t="n"/>
      <c r="DO57" s="59" t="n"/>
      <c r="DP57" s="59" t="n"/>
      <c r="DQ57" s="59" t="n"/>
      <c r="DR57" s="59" t="n"/>
      <c r="DS57" s="59" t="n"/>
      <c r="DT57" s="59" t="n"/>
      <c r="DU57" s="59" t="n"/>
      <c r="DV57" s="59" t="n"/>
      <c r="DW57" s="59" t="n"/>
      <c r="DX57" s="59" t="n"/>
      <c r="DY57" s="59" t="n"/>
      <c r="DZ57" s="59" t="n"/>
      <c r="EA57" s="59" t="n"/>
      <c r="EB57" s="59" t="n"/>
      <c r="EC57" s="59" t="n"/>
      <c r="ED57" s="59" t="n"/>
      <c r="EE57" s="59" t="n"/>
      <c r="EF57" s="59" t="n"/>
      <c r="EG57" s="59" t="n"/>
      <c r="EH57" s="59" t="n"/>
      <c r="EI57" s="59" t="n"/>
      <c r="EJ57" s="59" t="n"/>
      <c r="EK57" s="59" t="n"/>
      <c r="EL57" s="59" t="n"/>
      <c r="EM57" s="59" t="n"/>
      <c r="EN57" s="59" t="n"/>
      <c r="EO57" s="59" t="n"/>
      <c r="EP57" s="59" t="n"/>
      <c r="EQ57" s="59" t="n"/>
      <c r="ER57" s="59" t="n"/>
      <c r="ES57" s="59" t="n"/>
      <c r="ET57" s="59" t="n"/>
      <c r="EU57" s="59" t="n"/>
      <c r="EV57" s="59" t="n"/>
      <c r="EW57" s="59" t="n"/>
      <c r="EX57" s="59" t="n"/>
      <c r="EY57" s="59" t="n"/>
      <c r="EZ57" s="59" t="n"/>
      <c r="FA57" s="59" t="n"/>
      <c r="FB57" s="59" t="n"/>
      <c r="FC57" s="59" t="n"/>
      <c r="FD57" s="59" t="n"/>
      <c r="FE57" s="59" t="n"/>
      <c r="FF57" s="59" t="n"/>
      <c r="FG57" s="59" t="n"/>
      <c r="FH57" s="59" t="n"/>
      <c r="FI57" s="59" t="n"/>
      <c r="FJ57" s="59" t="n"/>
      <c r="FK57" s="59" t="n"/>
      <c r="FL57" s="59" t="n"/>
      <c r="FM57" s="59" t="n"/>
      <c r="FN57" s="59" t="n"/>
      <c r="FO57" s="59" t="n"/>
      <c r="FP57" s="59" t="n"/>
      <c r="FQ57" s="59" t="n"/>
      <c r="FR57" s="59" t="n"/>
      <c r="FS57" s="59" t="n"/>
      <c r="FT57" s="59" t="n"/>
      <c r="FU57" s="59" t="n"/>
      <c r="FV57" s="59" t="n"/>
      <c r="FW57" s="59" t="n"/>
      <c r="FX57" s="59" t="n"/>
      <c r="FY57" s="59" t="n"/>
      <c r="FZ57" s="59" t="n"/>
      <c r="GA57" s="59" t="n"/>
      <c r="GB57" s="59" t="n"/>
      <c r="GC57" s="59" t="n"/>
      <c r="GD57" s="59" t="n"/>
      <c r="GE57" s="59" t="n"/>
      <c r="GF57" s="59" t="n"/>
      <c r="GG57" s="59" t="n"/>
      <c r="GH57" s="59" t="n"/>
      <c r="GI57" s="59" t="n"/>
      <c r="GJ57" s="59" t="n"/>
      <c r="GK57" s="59" t="n"/>
      <c r="GL57" s="59" t="n"/>
      <c r="GM57" s="59" t="n"/>
      <c r="GN57" s="59" t="n"/>
      <c r="GO57" s="59" t="n"/>
      <c r="GP57" s="59" t="n"/>
      <c r="GQ57" s="59" t="n"/>
      <c r="GR57" s="59" t="n"/>
      <c r="GS57" s="59" t="n"/>
      <c r="GT57" s="59" t="n"/>
      <c r="GU57" s="59" t="n"/>
      <c r="GV57" s="59" t="n"/>
      <c r="GW57" s="59" t="n"/>
      <c r="GX57" s="59" t="n"/>
      <c r="GY57" s="59" t="n"/>
      <c r="GZ57" s="59" t="n"/>
      <c r="HA57" s="59" t="n"/>
      <c r="HB57" s="59" t="n"/>
      <c r="HC57" s="59" t="n"/>
      <c r="HD57" s="59" t="n"/>
      <c r="HE57" s="59" t="n"/>
      <c r="HF57" s="59" t="n"/>
      <c r="HG57" s="59" t="n"/>
      <c r="HH57" s="59" t="n"/>
      <c r="HI57" s="59" t="n"/>
      <c r="HJ57" s="59" t="n"/>
      <c r="HK57" s="59" t="n"/>
      <c r="HL57" s="59" t="n"/>
      <c r="HM57" s="59" t="n"/>
      <c r="HN57" s="59" t="n"/>
      <c r="HO57" s="59" t="n"/>
      <c r="HP57" s="59" t="n"/>
      <c r="HQ57" s="59" t="n"/>
      <c r="HR57" s="59" t="n"/>
      <c r="HS57" s="59" t="n"/>
      <c r="HT57" s="59" t="n"/>
      <c r="HU57" s="59" t="n"/>
      <c r="HV57" s="59" t="n"/>
      <c r="HW57" s="59" t="n"/>
      <c r="HX57" s="59" t="n"/>
      <c r="HY57" s="59" t="n"/>
      <c r="HZ57" s="59" t="n"/>
      <c r="IA57" s="59" t="n"/>
      <c r="IB57" s="59" t="n"/>
      <c r="IC57" s="59" t="n"/>
      <c r="ID57" s="59" t="n"/>
      <c r="IE57" s="59" t="n"/>
      <c r="IF57" s="59" t="n"/>
      <c r="IG57" s="59" t="n"/>
    </row>
    <row r="58">
      <c r="A58" s="181" t="n"/>
      <c r="B58" s="181" t="n"/>
      <c r="C58" s="181" t="n"/>
      <c r="D58" s="181" t="n"/>
      <c r="E58" s="181" t="n"/>
      <c r="F58" s="208" t="n">
        <v>52</v>
      </c>
      <c r="G58" s="209">
        <f>$C$39</f>
        <v/>
      </c>
      <c r="H58" s="209">
        <f>(J57*$C$16)/12</f>
        <v/>
      </c>
      <c r="I58" s="209">
        <f>G58-H58</f>
        <v/>
      </c>
      <c r="J58" s="209">
        <f>J57-I58</f>
        <v/>
      </c>
      <c r="K58" s="181" t="n"/>
      <c r="L58" s="181" t="n"/>
      <c r="M58" s="181" t="n"/>
      <c r="N58" s="181" t="n"/>
      <c r="O58" s="181" t="n"/>
      <c r="P58" s="181" t="n"/>
      <c r="Q58" s="181" t="n"/>
      <c r="R58" s="181" t="n"/>
      <c r="S58" s="181" t="n"/>
      <c r="T58" s="181" t="n"/>
      <c r="U58" s="181" t="n"/>
      <c r="V58" s="181" t="n"/>
      <c r="W58" s="181" t="n"/>
      <c r="X58" s="181" t="n"/>
      <c r="Y58" s="181" t="n"/>
      <c r="Z58" s="181" t="n"/>
      <c r="AA58" s="181" t="n"/>
      <c r="AB58" s="181" t="n"/>
      <c r="AC58" s="59" t="n"/>
      <c r="AD58" s="59" t="n"/>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n"/>
      <c r="CT58" s="59" t="n"/>
      <c r="CU58" s="59" t="n"/>
      <c r="CV58" s="59" t="n"/>
      <c r="CW58" s="59" t="n"/>
      <c r="CX58" s="59" t="n"/>
      <c r="CY58" s="59" t="n"/>
      <c r="CZ58" s="59" t="n"/>
      <c r="DA58" s="59" t="n"/>
      <c r="DB58" s="59" t="n"/>
      <c r="DC58" s="59" t="n"/>
      <c r="DD58" s="59" t="n"/>
      <c r="DE58" s="59" t="n"/>
      <c r="DF58" s="59" t="n"/>
      <c r="DG58" s="59" t="n"/>
      <c r="DH58" s="59" t="n"/>
      <c r="DI58" s="59" t="n"/>
      <c r="DJ58" s="59" t="n"/>
      <c r="DK58" s="59" t="n"/>
      <c r="DL58" s="59" t="n"/>
      <c r="DM58" s="59" t="n"/>
      <c r="DN58" s="59" t="n"/>
      <c r="DO58" s="59" t="n"/>
      <c r="DP58" s="59" t="n"/>
      <c r="DQ58" s="59" t="n"/>
      <c r="DR58" s="59" t="n"/>
      <c r="DS58" s="59" t="n"/>
      <c r="DT58" s="59" t="n"/>
      <c r="DU58" s="59" t="n"/>
      <c r="DV58" s="59" t="n"/>
      <c r="DW58" s="59" t="n"/>
      <c r="DX58" s="59" t="n"/>
      <c r="DY58" s="59" t="n"/>
      <c r="DZ58" s="59" t="n"/>
      <c r="EA58" s="59" t="n"/>
      <c r="EB58" s="59" t="n"/>
      <c r="EC58" s="59" t="n"/>
      <c r="ED58" s="59" t="n"/>
      <c r="EE58" s="59" t="n"/>
      <c r="EF58" s="59" t="n"/>
      <c r="EG58" s="59" t="n"/>
      <c r="EH58" s="59" t="n"/>
      <c r="EI58" s="59" t="n"/>
      <c r="EJ58" s="59" t="n"/>
      <c r="EK58" s="59" t="n"/>
      <c r="EL58" s="59" t="n"/>
      <c r="EM58" s="59" t="n"/>
      <c r="EN58" s="59" t="n"/>
      <c r="EO58" s="59" t="n"/>
      <c r="EP58" s="59" t="n"/>
      <c r="EQ58" s="59" t="n"/>
      <c r="ER58" s="59" t="n"/>
      <c r="ES58" s="59" t="n"/>
      <c r="ET58" s="59" t="n"/>
      <c r="EU58" s="59" t="n"/>
      <c r="EV58" s="59" t="n"/>
      <c r="EW58" s="59" t="n"/>
      <c r="EX58" s="59" t="n"/>
      <c r="EY58" s="59" t="n"/>
      <c r="EZ58" s="59" t="n"/>
      <c r="FA58" s="59" t="n"/>
      <c r="FB58" s="59" t="n"/>
      <c r="FC58" s="59" t="n"/>
      <c r="FD58" s="59" t="n"/>
      <c r="FE58" s="59" t="n"/>
      <c r="FF58" s="59" t="n"/>
      <c r="FG58" s="59" t="n"/>
      <c r="FH58" s="59" t="n"/>
      <c r="FI58" s="59" t="n"/>
      <c r="FJ58" s="59" t="n"/>
      <c r="FK58" s="59" t="n"/>
      <c r="FL58" s="59" t="n"/>
      <c r="FM58" s="59" t="n"/>
      <c r="FN58" s="59" t="n"/>
      <c r="FO58" s="59" t="n"/>
      <c r="FP58" s="59" t="n"/>
      <c r="FQ58" s="59" t="n"/>
      <c r="FR58" s="59" t="n"/>
      <c r="FS58" s="59" t="n"/>
      <c r="FT58" s="59" t="n"/>
      <c r="FU58" s="59" t="n"/>
      <c r="FV58" s="59" t="n"/>
      <c r="FW58" s="59" t="n"/>
      <c r="FX58" s="59" t="n"/>
      <c r="FY58" s="59" t="n"/>
      <c r="FZ58" s="59" t="n"/>
      <c r="GA58" s="59" t="n"/>
      <c r="GB58" s="59" t="n"/>
      <c r="GC58" s="59" t="n"/>
      <c r="GD58" s="59" t="n"/>
      <c r="GE58" s="59" t="n"/>
      <c r="GF58" s="59" t="n"/>
      <c r="GG58" s="59" t="n"/>
      <c r="GH58" s="59" t="n"/>
      <c r="GI58" s="59" t="n"/>
      <c r="GJ58" s="59" t="n"/>
      <c r="GK58" s="59" t="n"/>
      <c r="GL58" s="59" t="n"/>
      <c r="GM58" s="59" t="n"/>
      <c r="GN58" s="59" t="n"/>
      <c r="GO58" s="59" t="n"/>
      <c r="GP58" s="59" t="n"/>
      <c r="GQ58" s="59" t="n"/>
      <c r="GR58" s="59" t="n"/>
      <c r="GS58" s="59" t="n"/>
      <c r="GT58" s="59" t="n"/>
      <c r="GU58" s="59" t="n"/>
      <c r="GV58" s="59" t="n"/>
      <c r="GW58" s="59" t="n"/>
      <c r="GX58" s="59" t="n"/>
      <c r="GY58" s="59" t="n"/>
      <c r="GZ58" s="59" t="n"/>
      <c r="HA58" s="59" t="n"/>
      <c r="HB58" s="59" t="n"/>
      <c r="HC58" s="59" t="n"/>
      <c r="HD58" s="59" t="n"/>
      <c r="HE58" s="59" t="n"/>
      <c r="HF58" s="59" t="n"/>
      <c r="HG58" s="59" t="n"/>
      <c r="HH58" s="59" t="n"/>
      <c r="HI58" s="59" t="n"/>
      <c r="HJ58" s="59" t="n"/>
      <c r="HK58" s="59" t="n"/>
      <c r="HL58" s="59" t="n"/>
      <c r="HM58" s="59" t="n"/>
      <c r="HN58" s="59" t="n"/>
      <c r="HO58" s="59" t="n"/>
      <c r="HP58" s="59" t="n"/>
      <c r="HQ58" s="59" t="n"/>
      <c r="HR58" s="59" t="n"/>
      <c r="HS58" s="59" t="n"/>
      <c r="HT58" s="59" t="n"/>
      <c r="HU58" s="59" t="n"/>
      <c r="HV58" s="59" t="n"/>
      <c r="HW58" s="59" t="n"/>
      <c r="HX58" s="59" t="n"/>
      <c r="HY58" s="59" t="n"/>
      <c r="HZ58" s="59" t="n"/>
      <c r="IA58" s="59" t="n"/>
      <c r="IB58" s="59" t="n"/>
      <c r="IC58" s="59" t="n"/>
      <c r="ID58" s="59" t="n"/>
      <c r="IE58" s="59" t="n"/>
      <c r="IF58" s="59" t="n"/>
      <c r="IG58" s="59" t="n"/>
    </row>
    <row r="59">
      <c r="A59" s="181" t="n"/>
      <c r="B59" s="181" t="n"/>
      <c r="C59" s="181" t="n"/>
      <c r="D59" s="181" t="n"/>
      <c r="E59" s="181" t="n"/>
      <c r="F59" s="208" t="n">
        <v>53</v>
      </c>
      <c r="G59" s="209">
        <f>$C$39</f>
        <v/>
      </c>
      <c r="H59" s="209">
        <f>(J58*$C$16)/12</f>
        <v/>
      </c>
      <c r="I59" s="209">
        <f>G59-H59</f>
        <v/>
      </c>
      <c r="J59" s="209">
        <f>J58-I59</f>
        <v/>
      </c>
      <c r="K59" s="181" t="n"/>
      <c r="L59" s="181" t="n"/>
      <c r="M59" s="181" t="n"/>
      <c r="N59" s="181" t="n"/>
      <c r="O59" s="181" t="n"/>
      <c r="P59" s="181" t="n"/>
      <c r="Q59" s="181" t="n"/>
      <c r="R59" s="181" t="n"/>
      <c r="S59" s="181" t="n"/>
      <c r="T59" s="181" t="n"/>
      <c r="U59" s="181" t="n"/>
      <c r="V59" s="181" t="n"/>
      <c r="W59" s="181" t="n"/>
      <c r="X59" s="181" t="n"/>
      <c r="Y59" s="181" t="n"/>
      <c r="Z59" s="181" t="n"/>
      <c r="AA59" s="181" t="n"/>
      <c r="AB59" s="181"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59" t="n"/>
      <c r="BZ59" s="59" t="n"/>
      <c r="CA59" s="59" t="n"/>
      <c r="CB59" s="59" t="n"/>
      <c r="CC59" s="59" t="n"/>
      <c r="CD59" s="59" t="n"/>
      <c r="CE59" s="59" t="n"/>
      <c r="CF59" s="59" t="n"/>
      <c r="CG59" s="59" t="n"/>
      <c r="CH59" s="59" t="n"/>
      <c r="CI59" s="59" t="n"/>
      <c r="CJ59" s="59" t="n"/>
      <c r="CK59" s="59" t="n"/>
      <c r="CL59" s="59" t="n"/>
      <c r="CM59" s="59" t="n"/>
      <c r="CN59" s="59" t="n"/>
      <c r="CO59" s="59" t="n"/>
      <c r="CP59" s="59" t="n"/>
      <c r="CQ59" s="59" t="n"/>
      <c r="CR59" s="59" t="n"/>
      <c r="CS59" s="59" t="n"/>
      <c r="CT59" s="59" t="n"/>
      <c r="CU59" s="59" t="n"/>
      <c r="CV59" s="59" t="n"/>
      <c r="CW59" s="59" t="n"/>
      <c r="CX59" s="59" t="n"/>
      <c r="CY59" s="59" t="n"/>
      <c r="CZ59" s="59" t="n"/>
      <c r="DA59" s="59" t="n"/>
      <c r="DB59" s="59" t="n"/>
      <c r="DC59" s="59" t="n"/>
      <c r="DD59" s="59" t="n"/>
      <c r="DE59" s="59" t="n"/>
      <c r="DF59" s="59" t="n"/>
      <c r="DG59" s="59" t="n"/>
      <c r="DH59" s="59" t="n"/>
      <c r="DI59" s="59" t="n"/>
      <c r="DJ59" s="59" t="n"/>
      <c r="DK59" s="59" t="n"/>
      <c r="DL59" s="59" t="n"/>
      <c r="DM59" s="59" t="n"/>
      <c r="DN59" s="59" t="n"/>
      <c r="DO59" s="59" t="n"/>
      <c r="DP59" s="59" t="n"/>
      <c r="DQ59" s="59" t="n"/>
      <c r="DR59" s="59" t="n"/>
      <c r="DS59" s="59" t="n"/>
      <c r="DT59" s="59" t="n"/>
      <c r="DU59" s="59" t="n"/>
      <c r="DV59" s="59" t="n"/>
      <c r="DW59" s="59" t="n"/>
      <c r="DX59" s="59" t="n"/>
      <c r="DY59" s="59" t="n"/>
      <c r="DZ59" s="59" t="n"/>
      <c r="EA59" s="59" t="n"/>
      <c r="EB59" s="59" t="n"/>
      <c r="EC59" s="59" t="n"/>
      <c r="ED59" s="59" t="n"/>
      <c r="EE59" s="59" t="n"/>
      <c r="EF59" s="59" t="n"/>
      <c r="EG59" s="59" t="n"/>
      <c r="EH59" s="59" t="n"/>
      <c r="EI59" s="59" t="n"/>
      <c r="EJ59" s="59" t="n"/>
      <c r="EK59" s="59" t="n"/>
      <c r="EL59" s="59" t="n"/>
      <c r="EM59" s="59" t="n"/>
      <c r="EN59" s="59" t="n"/>
      <c r="EO59" s="59" t="n"/>
      <c r="EP59" s="59" t="n"/>
      <c r="EQ59" s="59" t="n"/>
      <c r="ER59" s="59" t="n"/>
      <c r="ES59" s="59" t="n"/>
      <c r="ET59" s="59" t="n"/>
      <c r="EU59" s="59" t="n"/>
      <c r="EV59" s="59" t="n"/>
      <c r="EW59" s="59" t="n"/>
      <c r="EX59" s="59" t="n"/>
      <c r="EY59" s="59" t="n"/>
      <c r="EZ59" s="59" t="n"/>
      <c r="FA59" s="59" t="n"/>
      <c r="FB59" s="59" t="n"/>
      <c r="FC59" s="59" t="n"/>
      <c r="FD59" s="59" t="n"/>
      <c r="FE59" s="59" t="n"/>
      <c r="FF59" s="59" t="n"/>
      <c r="FG59" s="59" t="n"/>
      <c r="FH59" s="59" t="n"/>
      <c r="FI59" s="59" t="n"/>
      <c r="FJ59" s="59" t="n"/>
      <c r="FK59" s="59" t="n"/>
      <c r="FL59" s="59" t="n"/>
      <c r="FM59" s="59" t="n"/>
      <c r="FN59" s="59" t="n"/>
      <c r="FO59" s="59" t="n"/>
      <c r="FP59" s="59" t="n"/>
      <c r="FQ59" s="59" t="n"/>
      <c r="FR59" s="59" t="n"/>
      <c r="FS59" s="59" t="n"/>
      <c r="FT59" s="59" t="n"/>
      <c r="FU59" s="59" t="n"/>
      <c r="FV59" s="59" t="n"/>
      <c r="FW59" s="59" t="n"/>
      <c r="FX59" s="59" t="n"/>
      <c r="FY59" s="59" t="n"/>
      <c r="FZ59" s="59" t="n"/>
      <c r="GA59" s="59" t="n"/>
      <c r="GB59" s="59" t="n"/>
      <c r="GC59" s="59" t="n"/>
      <c r="GD59" s="59" t="n"/>
      <c r="GE59" s="59" t="n"/>
      <c r="GF59" s="59" t="n"/>
      <c r="GG59" s="59" t="n"/>
      <c r="GH59" s="59" t="n"/>
      <c r="GI59" s="59" t="n"/>
      <c r="GJ59" s="59" t="n"/>
      <c r="GK59" s="59" t="n"/>
      <c r="GL59" s="59" t="n"/>
      <c r="GM59" s="59" t="n"/>
      <c r="GN59" s="59" t="n"/>
      <c r="GO59" s="59" t="n"/>
      <c r="GP59" s="59" t="n"/>
      <c r="GQ59" s="59" t="n"/>
      <c r="GR59" s="59" t="n"/>
      <c r="GS59" s="59" t="n"/>
      <c r="GT59" s="59" t="n"/>
      <c r="GU59" s="59" t="n"/>
      <c r="GV59" s="59" t="n"/>
      <c r="GW59" s="59" t="n"/>
      <c r="GX59" s="59" t="n"/>
      <c r="GY59" s="59" t="n"/>
      <c r="GZ59" s="59" t="n"/>
      <c r="HA59" s="59" t="n"/>
      <c r="HB59" s="59" t="n"/>
      <c r="HC59" s="59" t="n"/>
      <c r="HD59" s="59" t="n"/>
      <c r="HE59" s="59" t="n"/>
      <c r="HF59" s="59" t="n"/>
      <c r="HG59" s="59" t="n"/>
      <c r="HH59" s="59" t="n"/>
      <c r="HI59" s="59" t="n"/>
      <c r="HJ59" s="59" t="n"/>
      <c r="HK59" s="59" t="n"/>
      <c r="HL59" s="59" t="n"/>
      <c r="HM59" s="59" t="n"/>
      <c r="HN59" s="59" t="n"/>
      <c r="HO59" s="59" t="n"/>
      <c r="HP59" s="59" t="n"/>
      <c r="HQ59" s="59" t="n"/>
      <c r="HR59" s="59" t="n"/>
      <c r="HS59" s="59" t="n"/>
      <c r="HT59" s="59" t="n"/>
      <c r="HU59" s="59" t="n"/>
      <c r="HV59" s="59" t="n"/>
      <c r="HW59" s="59" t="n"/>
      <c r="HX59" s="59" t="n"/>
      <c r="HY59" s="59" t="n"/>
      <c r="HZ59" s="59" t="n"/>
      <c r="IA59" s="59" t="n"/>
      <c r="IB59" s="59" t="n"/>
      <c r="IC59" s="59" t="n"/>
      <c r="ID59" s="59" t="n"/>
      <c r="IE59" s="59" t="n"/>
      <c r="IF59" s="59" t="n"/>
      <c r="IG59" s="59" t="n"/>
    </row>
    <row r="60">
      <c r="A60" s="181" t="n"/>
      <c r="B60" s="181" t="n"/>
      <c r="C60" s="181" t="n"/>
      <c r="D60" s="181" t="n"/>
      <c r="E60" s="181" t="n"/>
      <c r="F60" s="208" t="n">
        <v>54</v>
      </c>
      <c r="G60" s="209">
        <f>$C$39</f>
        <v/>
      </c>
      <c r="H60" s="209">
        <f>(J59*$C$16)/12</f>
        <v/>
      </c>
      <c r="I60" s="209">
        <f>G60-H60</f>
        <v/>
      </c>
      <c r="J60" s="209">
        <f>J59-I60</f>
        <v/>
      </c>
      <c r="K60" s="181" t="n"/>
      <c r="L60" s="181" t="n"/>
      <c r="M60" s="181" t="n"/>
      <c r="N60" s="181" t="n"/>
      <c r="O60" s="181" t="n"/>
      <c r="P60" s="181" t="n"/>
      <c r="Q60" s="181" t="n"/>
      <c r="R60" s="181" t="n"/>
      <c r="S60" s="181" t="n"/>
      <c r="T60" s="181" t="n"/>
      <c r="U60" s="181" t="n"/>
      <c r="V60" s="181" t="n"/>
      <c r="W60" s="181" t="n"/>
      <c r="X60" s="181" t="n"/>
      <c r="Y60" s="181" t="n"/>
      <c r="Z60" s="181" t="n"/>
      <c r="AA60" s="181" t="n"/>
      <c r="AB60" s="181" t="n"/>
      <c r="AC60" s="59" t="n"/>
      <c r="AD60" s="59" t="n"/>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59" t="n"/>
      <c r="BZ60" s="59" t="n"/>
      <c r="CA60" s="59" t="n"/>
      <c r="CB60" s="59" t="n"/>
      <c r="CC60" s="59" t="n"/>
      <c r="CD60" s="59" t="n"/>
      <c r="CE60" s="59" t="n"/>
      <c r="CF60" s="59" t="n"/>
      <c r="CG60" s="59" t="n"/>
      <c r="CH60" s="59" t="n"/>
      <c r="CI60" s="59" t="n"/>
      <c r="CJ60" s="59" t="n"/>
      <c r="CK60" s="59" t="n"/>
      <c r="CL60" s="59" t="n"/>
      <c r="CM60" s="59" t="n"/>
      <c r="CN60" s="59" t="n"/>
      <c r="CO60" s="59" t="n"/>
      <c r="CP60" s="59" t="n"/>
      <c r="CQ60" s="59" t="n"/>
      <c r="CR60" s="59" t="n"/>
      <c r="CS60" s="59" t="n"/>
      <c r="CT60" s="59" t="n"/>
      <c r="CU60" s="59" t="n"/>
      <c r="CV60" s="59" t="n"/>
      <c r="CW60" s="59" t="n"/>
      <c r="CX60" s="59" t="n"/>
      <c r="CY60" s="59" t="n"/>
      <c r="CZ60" s="59" t="n"/>
      <c r="DA60" s="59" t="n"/>
      <c r="DB60" s="59" t="n"/>
      <c r="DC60" s="59" t="n"/>
      <c r="DD60" s="59" t="n"/>
      <c r="DE60" s="59" t="n"/>
      <c r="DF60" s="59" t="n"/>
      <c r="DG60" s="59" t="n"/>
      <c r="DH60" s="59" t="n"/>
      <c r="DI60" s="59" t="n"/>
      <c r="DJ60" s="59" t="n"/>
      <c r="DK60" s="59" t="n"/>
      <c r="DL60" s="59" t="n"/>
      <c r="DM60" s="59" t="n"/>
      <c r="DN60" s="59" t="n"/>
      <c r="DO60" s="59" t="n"/>
      <c r="DP60" s="59" t="n"/>
      <c r="DQ60" s="59" t="n"/>
      <c r="DR60" s="59" t="n"/>
      <c r="DS60" s="59" t="n"/>
      <c r="DT60" s="59" t="n"/>
      <c r="DU60" s="59" t="n"/>
      <c r="DV60" s="59" t="n"/>
      <c r="DW60" s="59" t="n"/>
      <c r="DX60" s="59" t="n"/>
      <c r="DY60" s="59" t="n"/>
      <c r="DZ60" s="59" t="n"/>
      <c r="EA60" s="59" t="n"/>
      <c r="EB60" s="59" t="n"/>
      <c r="EC60" s="59" t="n"/>
      <c r="ED60" s="59" t="n"/>
      <c r="EE60" s="59" t="n"/>
      <c r="EF60" s="59" t="n"/>
      <c r="EG60" s="59" t="n"/>
      <c r="EH60" s="59" t="n"/>
      <c r="EI60" s="59" t="n"/>
      <c r="EJ60" s="59" t="n"/>
      <c r="EK60" s="59" t="n"/>
      <c r="EL60" s="59" t="n"/>
      <c r="EM60" s="59" t="n"/>
      <c r="EN60" s="59" t="n"/>
      <c r="EO60" s="59" t="n"/>
      <c r="EP60" s="59" t="n"/>
      <c r="EQ60" s="59" t="n"/>
      <c r="ER60" s="59" t="n"/>
      <c r="ES60" s="59" t="n"/>
      <c r="ET60" s="59" t="n"/>
      <c r="EU60" s="59" t="n"/>
      <c r="EV60" s="59" t="n"/>
      <c r="EW60" s="59" t="n"/>
      <c r="EX60" s="59" t="n"/>
      <c r="EY60" s="59" t="n"/>
      <c r="EZ60" s="59" t="n"/>
      <c r="FA60" s="59" t="n"/>
      <c r="FB60" s="59" t="n"/>
      <c r="FC60" s="59" t="n"/>
      <c r="FD60" s="59" t="n"/>
      <c r="FE60" s="59" t="n"/>
      <c r="FF60" s="59" t="n"/>
      <c r="FG60" s="59" t="n"/>
      <c r="FH60" s="59" t="n"/>
      <c r="FI60" s="59" t="n"/>
      <c r="FJ60" s="59" t="n"/>
      <c r="FK60" s="59" t="n"/>
      <c r="FL60" s="59" t="n"/>
      <c r="FM60" s="59" t="n"/>
      <c r="FN60" s="59" t="n"/>
      <c r="FO60" s="59" t="n"/>
      <c r="FP60" s="59" t="n"/>
      <c r="FQ60" s="59" t="n"/>
      <c r="FR60" s="59" t="n"/>
      <c r="FS60" s="59" t="n"/>
      <c r="FT60" s="59" t="n"/>
      <c r="FU60" s="59" t="n"/>
      <c r="FV60" s="59" t="n"/>
      <c r="FW60" s="59" t="n"/>
      <c r="FX60" s="59" t="n"/>
      <c r="FY60" s="59" t="n"/>
      <c r="FZ60" s="59" t="n"/>
      <c r="GA60" s="59" t="n"/>
      <c r="GB60" s="59" t="n"/>
      <c r="GC60" s="59" t="n"/>
      <c r="GD60" s="59" t="n"/>
      <c r="GE60" s="59" t="n"/>
      <c r="GF60" s="59" t="n"/>
      <c r="GG60" s="59" t="n"/>
      <c r="GH60" s="59" t="n"/>
      <c r="GI60" s="59" t="n"/>
      <c r="GJ60" s="59" t="n"/>
      <c r="GK60" s="59" t="n"/>
      <c r="GL60" s="59" t="n"/>
      <c r="GM60" s="59" t="n"/>
      <c r="GN60" s="59" t="n"/>
      <c r="GO60" s="59" t="n"/>
      <c r="GP60" s="59" t="n"/>
      <c r="GQ60" s="59" t="n"/>
      <c r="GR60" s="59" t="n"/>
      <c r="GS60" s="59" t="n"/>
      <c r="GT60" s="59" t="n"/>
      <c r="GU60" s="59" t="n"/>
      <c r="GV60" s="59" t="n"/>
      <c r="GW60" s="59" t="n"/>
      <c r="GX60" s="59" t="n"/>
      <c r="GY60" s="59" t="n"/>
      <c r="GZ60" s="59" t="n"/>
      <c r="HA60" s="59" t="n"/>
      <c r="HB60" s="59" t="n"/>
      <c r="HC60" s="59" t="n"/>
      <c r="HD60" s="59" t="n"/>
      <c r="HE60" s="59" t="n"/>
      <c r="HF60" s="59" t="n"/>
      <c r="HG60" s="59" t="n"/>
      <c r="HH60" s="59" t="n"/>
      <c r="HI60" s="59" t="n"/>
      <c r="HJ60" s="59" t="n"/>
      <c r="HK60" s="59" t="n"/>
      <c r="HL60" s="59" t="n"/>
      <c r="HM60" s="59" t="n"/>
      <c r="HN60" s="59" t="n"/>
      <c r="HO60" s="59" t="n"/>
      <c r="HP60" s="59" t="n"/>
      <c r="HQ60" s="59" t="n"/>
      <c r="HR60" s="59" t="n"/>
      <c r="HS60" s="59" t="n"/>
      <c r="HT60" s="59" t="n"/>
      <c r="HU60" s="59" t="n"/>
      <c r="HV60" s="59" t="n"/>
      <c r="HW60" s="59" t="n"/>
      <c r="HX60" s="59" t="n"/>
      <c r="HY60" s="59" t="n"/>
      <c r="HZ60" s="59" t="n"/>
      <c r="IA60" s="59" t="n"/>
      <c r="IB60" s="59" t="n"/>
      <c r="IC60" s="59" t="n"/>
      <c r="ID60" s="59" t="n"/>
      <c r="IE60" s="59" t="n"/>
      <c r="IF60" s="59" t="n"/>
      <c r="IG60" s="59" t="n"/>
    </row>
    <row r="61">
      <c r="A61" s="181" t="n"/>
      <c r="B61" s="181" t="n"/>
      <c r="C61" s="181" t="n"/>
      <c r="D61" s="181" t="n"/>
      <c r="E61" s="181" t="n"/>
      <c r="F61" s="208" t="n">
        <v>55</v>
      </c>
      <c r="G61" s="209">
        <f>$C$39</f>
        <v/>
      </c>
      <c r="H61" s="209">
        <f>(J60*$C$16)/12</f>
        <v/>
      </c>
      <c r="I61" s="209">
        <f>G61-H61</f>
        <v/>
      </c>
      <c r="J61" s="209">
        <f>J60-I61</f>
        <v/>
      </c>
      <c r="K61" s="181" t="n"/>
      <c r="L61" s="181" t="n"/>
      <c r="M61" s="181" t="n"/>
      <c r="N61" s="181" t="n"/>
      <c r="O61" s="181" t="n"/>
      <c r="P61" s="181" t="n"/>
      <c r="Q61" s="181" t="n"/>
      <c r="R61" s="181" t="n"/>
      <c r="S61" s="181" t="n"/>
      <c r="T61" s="181" t="n"/>
      <c r="U61" s="181" t="n"/>
      <c r="V61" s="181" t="n"/>
      <c r="W61" s="181" t="n"/>
      <c r="X61" s="181" t="n"/>
      <c r="Y61" s="181" t="n"/>
      <c r="Z61" s="181" t="n"/>
      <c r="AA61" s="181" t="n"/>
      <c r="AB61" s="181" t="n"/>
      <c r="AC61" s="59" t="n"/>
      <c r="AD61" s="59" t="n"/>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59" t="n"/>
      <c r="BZ61" s="59" t="n"/>
      <c r="CA61" s="59" t="n"/>
      <c r="CB61" s="59" t="n"/>
      <c r="CC61" s="59" t="n"/>
      <c r="CD61" s="59" t="n"/>
      <c r="CE61" s="59" t="n"/>
      <c r="CF61" s="59" t="n"/>
      <c r="CG61" s="59" t="n"/>
      <c r="CH61" s="59" t="n"/>
      <c r="CI61" s="59" t="n"/>
      <c r="CJ61" s="59" t="n"/>
      <c r="CK61" s="59" t="n"/>
      <c r="CL61" s="59" t="n"/>
      <c r="CM61" s="59" t="n"/>
      <c r="CN61" s="59" t="n"/>
      <c r="CO61" s="59" t="n"/>
      <c r="CP61" s="59" t="n"/>
      <c r="CQ61" s="59" t="n"/>
      <c r="CR61" s="59" t="n"/>
      <c r="CS61" s="59" t="n"/>
      <c r="CT61" s="59" t="n"/>
      <c r="CU61" s="59" t="n"/>
      <c r="CV61" s="59" t="n"/>
      <c r="CW61" s="59" t="n"/>
      <c r="CX61" s="59" t="n"/>
      <c r="CY61" s="59" t="n"/>
      <c r="CZ61" s="59" t="n"/>
      <c r="DA61" s="59" t="n"/>
      <c r="DB61" s="59" t="n"/>
      <c r="DC61" s="59" t="n"/>
      <c r="DD61" s="59" t="n"/>
      <c r="DE61" s="59" t="n"/>
      <c r="DF61" s="59" t="n"/>
      <c r="DG61" s="59" t="n"/>
      <c r="DH61" s="59" t="n"/>
      <c r="DI61" s="59" t="n"/>
      <c r="DJ61" s="59" t="n"/>
      <c r="DK61" s="59" t="n"/>
      <c r="DL61" s="59" t="n"/>
      <c r="DM61" s="59" t="n"/>
      <c r="DN61" s="59" t="n"/>
      <c r="DO61" s="59" t="n"/>
      <c r="DP61" s="59" t="n"/>
      <c r="DQ61" s="59" t="n"/>
      <c r="DR61" s="59" t="n"/>
      <c r="DS61" s="59" t="n"/>
      <c r="DT61" s="59" t="n"/>
      <c r="DU61" s="59" t="n"/>
      <c r="DV61" s="59" t="n"/>
      <c r="DW61" s="59" t="n"/>
      <c r="DX61" s="59" t="n"/>
      <c r="DY61" s="59" t="n"/>
      <c r="DZ61" s="59" t="n"/>
      <c r="EA61" s="59" t="n"/>
      <c r="EB61" s="59" t="n"/>
      <c r="EC61" s="59" t="n"/>
      <c r="ED61" s="59" t="n"/>
      <c r="EE61" s="59" t="n"/>
      <c r="EF61" s="59" t="n"/>
      <c r="EG61" s="59" t="n"/>
      <c r="EH61" s="59" t="n"/>
      <c r="EI61" s="59" t="n"/>
      <c r="EJ61" s="59" t="n"/>
      <c r="EK61" s="59" t="n"/>
      <c r="EL61" s="59" t="n"/>
      <c r="EM61" s="59" t="n"/>
      <c r="EN61" s="59" t="n"/>
      <c r="EO61" s="59" t="n"/>
      <c r="EP61" s="59" t="n"/>
      <c r="EQ61" s="59" t="n"/>
      <c r="ER61" s="59" t="n"/>
      <c r="ES61" s="59" t="n"/>
      <c r="ET61" s="59" t="n"/>
      <c r="EU61" s="59" t="n"/>
      <c r="EV61" s="59" t="n"/>
      <c r="EW61" s="59" t="n"/>
      <c r="EX61" s="59" t="n"/>
      <c r="EY61" s="59" t="n"/>
      <c r="EZ61" s="59" t="n"/>
      <c r="FA61" s="59" t="n"/>
      <c r="FB61" s="59" t="n"/>
      <c r="FC61" s="59" t="n"/>
      <c r="FD61" s="59" t="n"/>
      <c r="FE61" s="59" t="n"/>
      <c r="FF61" s="59" t="n"/>
      <c r="FG61" s="59" t="n"/>
      <c r="FH61" s="59" t="n"/>
      <c r="FI61" s="59" t="n"/>
      <c r="FJ61" s="59" t="n"/>
      <c r="FK61" s="59" t="n"/>
      <c r="FL61" s="59" t="n"/>
      <c r="FM61" s="59" t="n"/>
      <c r="FN61" s="59" t="n"/>
      <c r="FO61" s="59" t="n"/>
      <c r="FP61" s="59" t="n"/>
      <c r="FQ61" s="59" t="n"/>
      <c r="FR61" s="59" t="n"/>
      <c r="FS61" s="59" t="n"/>
      <c r="FT61" s="59" t="n"/>
      <c r="FU61" s="59" t="n"/>
      <c r="FV61" s="59" t="n"/>
      <c r="FW61" s="59" t="n"/>
      <c r="FX61" s="59" t="n"/>
      <c r="FY61" s="59" t="n"/>
      <c r="FZ61" s="59" t="n"/>
      <c r="GA61" s="59" t="n"/>
      <c r="GB61" s="59" t="n"/>
      <c r="GC61" s="59" t="n"/>
      <c r="GD61" s="59" t="n"/>
      <c r="GE61" s="59" t="n"/>
      <c r="GF61" s="59" t="n"/>
      <c r="GG61" s="59" t="n"/>
      <c r="GH61" s="59" t="n"/>
      <c r="GI61" s="59" t="n"/>
      <c r="GJ61" s="59" t="n"/>
      <c r="GK61" s="59" t="n"/>
      <c r="GL61" s="59" t="n"/>
      <c r="GM61" s="59" t="n"/>
      <c r="GN61" s="59" t="n"/>
      <c r="GO61" s="59" t="n"/>
      <c r="GP61" s="59" t="n"/>
      <c r="GQ61" s="59" t="n"/>
      <c r="GR61" s="59" t="n"/>
      <c r="GS61" s="59" t="n"/>
      <c r="GT61" s="59" t="n"/>
      <c r="GU61" s="59" t="n"/>
      <c r="GV61" s="59" t="n"/>
      <c r="GW61" s="59" t="n"/>
      <c r="GX61" s="59" t="n"/>
      <c r="GY61" s="59" t="n"/>
      <c r="GZ61" s="59" t="n"/>
      <c r="HA61" s="59" t="n"/>
      <c r="HB61" s="59" t="n"/>
      <c r="HC61" s="59" t="n"/>
      <c r="HD61" s="59" t="n"/>
      <c r="HE61" s="59" t="n"/>
      <c r="HF61" s="59" t="n"/>
      <c r="HG61" s="59" t="n"/>
      <c r="HH61" s="59" t="n"/>
      <c r="HI61" s="59" t="n"/>
      <c r="HJ61" s="59" t="n"/>
      <c r="HK61" s="59" t="n"/>
      <c r="HL61" s="59" t="n"/>
      <c r="HM61" s="59" t="n"/>
      <c r="HN61" s="59" t="n"/>
      <c r="HO61" s="59" t="n"/>
      <c r="HP61" s="59" t="n"/>
      <c r="HQ61" s="59" t="n"/>
      <c r="HR61" s="59" t="n"/>
      <c r="HS61" s="59" t="n"/>
      <c r="HT61" s="59" t="n"/>
      <c r="HU61" s="59" t="n"/>
      <c r="HV61" s="59" t="n"/>
      <c r="HW61" s="59" t="n"/>
      <c r="HX61" s="59" t="n"/>
      <c r="HY61" s="59" t="n"/>
      <c r="HZ61" s="59" t="n"/>
      <c r="IA61" s="59" t="n"/>
      <c r="IB61" s="59" t="n"/>
      <c r="IC61" s="59" t="n"/>
      <c r="ID61" s="59" t="n"/>
      <c r="IE61" s="59" t="n"/>
      <c r="IF61" s="59" t="n"/>
      <c r="IG61" s="59" t="n"/>
    </row>
    <row r="62">
      <c r="A62" s="181" t="n"/>
      <c r="B62" s="181" t="n"/>
      <c r="C62" s="181" t="n"/>
      <c r="D62" s="181" t="n"/>
      <c r="E62" s="181" t="n"/>
      <c r="F62" s="208" t="n">
        <v>56</v>
      </c>
      <c r="G62" s="209">
        <f>$C$39</f>
        <v/>
      </c>
      <c r="H62" s="209">
        <f>(J61*$C$16)/12</f>
        <v/>
      </c>
      <c r="I62" s="209">
        <f>G62-H62</f>
        <v/>
      </c>
      <c r="J62" s="209">
        <f>J61-I62</f>
        <v/>
      </c>
      <c r="K62" s="181" t="n"/>
      <c r="L62" s="181" t="n"/>
      <c r="M62" s="181" t="n"/>
      <c r="N62" s="181" t="n"/>
      <c r="O62" s="181" t="n"/>
      <c r="P62" s="181" t="n"/>
      <c r="Q62" s="181" t="n"/>
      <c r="R62" s="181" t="n"/>
      <c r="S62" s="181" t="n"/>
      <c r="T62" s="181" t="n"/>
      <c r="U62" s="181" t="n"/>
      <c r="V62" s="181" t="n"/>
      <c r="W62" s="181" t="n"/>
      <c r="X62" s="181" t="n"/>
      <c r="Y62" s="181" t="n"/>
      <c r="Z62" s="181" t="n"/>
      <c r="AA62" s="181" t="n"/>
      <c r="AB62" s="181" t="n"/>
      <c r="AC62" s="59" t="n"/>
      <c r="AD62" s="59" t="n"/>
      <c r="AE62" s="59" t="n"/>
      <c r="AF62" s="59" t="n"/>
      <c r="AG62" s="59" t="n"/>
      <c r="AH62" s="59" t="n"/>
      <c r="AI62" s="59" t="n"/>
      <c r="AJ62" s="59" t="n"/>
      <c r="AK62" s="59" t="n"/>
      <c r="AL62" s="59" t="n"/>
      <c r="AM62" s="59" t="n"/>
      <c r="AN62" s="59" t="n"/>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59" t="n"/>
      <c r="BZ62" s="59" t="n"/>
      <c r="CA62" s="59" t="n"/>
      <c r="CB62" s="59" t="n"/>
      <c r="CC62" s="59" t="n"/>
      <c r="CD62" s="59" t="n"/>
      <c r="CE62" s="59" t="n"/>
      <c r="CF62" s="59" t="n"/>
      <c r="CG62" s="59" t="n"/>
      <c r="CH62" s="59" t="n"/>
      <c r="CI62" s="59" t="n"/>
      <c r="CJ62" s="59" t="n"/>
      <c r="CK62" s="59" t="n"/>
      <c r="CL62" s="59" t="n"/>
      <c r="CM62" s="59" t="n"/>
      <c r="CN62" s="59" t="n"/>
      <c r="CO62" s="59" t="n"/>
      <c r="CP62" s="59" t="n"/>
      <c r="CQ62" s="59" t="n"/>
      <c r="CR62" s="59" t="n"/>
      <c r="CS62" s="59" t="n"/>
      <c r="CT62" s="59" t="n"/>
      <c r="CU62" s="59" t="n"/>
      <c r="CV62" s="59" t="n"/>
      <c r="CW62" s="59" t="n"/>
      <c r="CX62" s="59" t="n"/>
      <c r="CY62" s="59" t="n"/>
      <c r="CZ62" s="59" t="n"/>
      <c r="DA62" s="59" t="n"/>
      <c r="DB62" s="59" t="n"/>
      <c r="DC62" s="59" t="n"/>
      <c r="DD62" s="59" t="n"/>
      <c r="DE62" s="59" t="n"/>
      <c r="DF62" s="59" t="n"/>
      <c r="DG62" s="59" t="n"/>
      <c r="DH62" s="59" t="n"/>
      <c r="DI62" s="59" t="n"/>
      <c r="DJ62" s="59" t="n"/>
      <c r="DK62" s="59" t="n"/>
      <c r="DL62" s="59" t="n"/>
      <c r="DM62" s="59" t="n"/>
      <c r="DN62" s="59" t="n"/>
      <c r="DO62" s="59" t="n"/>
      <c r="DP62" s="59" t="n"/>
      <c r="DQ62" s="59" t="n"/>
      <c r="DR62" s="59" t="n"/>
      <c r="DS62" s="59" t="n"/>
      <c r="DT62" s="59" t="n"/>
      <c r="DU62" s="59" t="n"/>
      <c r="DV62" s="59" t="n"/>
      <c r="DW62" s="59" t="n"/>
      <c r="DX62" s="59" t="n"/>
      <c r="DY62" s="59" t="n"/>
      <c r="DZ62" s="59" t="n"/>
      <c r="EA62" s="59" t="n"/>
      <c r="EB62" s="59" t="n"/>
      <c r="EC62" s="59" t="n"/>
      <c r="ED62" s="59" t="n"/>
      <c r="EE62" s="59" t="n"/>
      <c r="EF62" s="59" t="n"/>
      <c r="EG62" s="59" t="n"/>
      <c r="EH62" s="59" t="n"/>
      <c r="EI62" s="59" t="n"/>
      <c r="EJ62" s="59" t="n"/>
      <c r="EK62" s="59" t="n"/>
      <c r="EL62" s="59" t="n"/>
      <c r="EM62" s="59" t="n"/>
      <c r="EN62" s="59" t="n"/>
      <c r="EO62" s="59" t="n"/>
      <c r="EP62" s="59" t="n"/>
      <c r="EQ62" s="59" t="n"/>
      <c r="ER62" s="59" t="n"/>
      <c r="ES62" s="59" t="n"/>
      <c r="ET62" s="59" t="n"/>
      <c r="EU62" s="59" t="n"/>
      <c r="EV62" s="59" t="n"/>
      <c r="EW62" s="59" t="n"/>
      <c r="EX62" s="59" t="n"/>
      <c r="EY62" s="59" t="n"/>
      <c r="EZ62" s="59" t="n"/>
      <c r="FA62" s="59" t="n"/>
      <c r="FB62" s="59" t="n"/>
      <c r="FC62" s="59" t="n"/>
      <c r="FD62" s="59" t="n"/>
      <c r="FE62" s="59" t="n"/>
      <c r="FF62" s="59" t="n"/>
      <c r="FG62" s="59" t="n"/>
      <c r="FH62" s="59" t="n"/>
      <c r="FI62" s="59" t="n"/>
      <c r="FJ62" s="59" t="n"/>
      <c r="FK62" s="59" t="n"/>
      <c r="FL62" s="59" t="n"/>
      <c r="FM62" s="59" t="n"/>
      <c r="FN62" s="59" t="n"/>
      <c r="FO62" s="59" t="n"/>
      <c r="FP62" s="59" t="n"/>
      <c r="FQ62" s="59" t="n"/>
      <c r="FR62" s="59" t="n"/>
      <c r="FS62" s="59" t="n"/>
      <c r="FT62" s="59" t="n"/>
      <c r="FU62" s="59" t="n"/>
      <c r="FV62" s="59" t="n"/>
      <c r="FW62" s="59" t="n"/>
      <c r="FX62" s="59" t="n"/>
      <c r="FY62" s="59" t="n"/>
      <c r="FZ62" s="59" t="n"/>
      <c r="GA62" s="59" t="n"/>
      <c r="GB62" s="59" t="n"/>
      <c r="GC62" s="59" t="n"/>
      <c r="GD62" s="59" t="n"/>
      <c r="GE62" s="59" t="n"/>
      <c r="GF62" s="59" t="n"/>
      <c r="GG62" s="59" t="n"/>
      <c r="GH62" s="59" t="n"/>
      <c r="GI62"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r="HB62" s="59" t="n"/>
      <c r="HC62" s="59" t="n"/>
      <c r="HD62" s="59" t="n"/>
      <c r="HE62" s="59" t="n"/>
      <c r="HF62" s="59" t="n"/>
      <c r="HG62" s="59" t="n"/>
      <c r="HH62" s="59" t="n"/>
      <c r="HI62" s="59" t="n"/>
      <c r="HJ62" s="59" t="n"/>
      <c r="HK62" s="59" t="n"/>
      <c r="HL62" s="59" t="n"/>
      <c r="HM62" s="59" t="n"/>
      <c r="HN62" s="59" t="n"/>
      <c r="HO62" s="59" t="n"/>
      <c r="HP62" s="59" t="n"/>
      <c r="HQ62" s="59" t="n"/>
      <c r="HR62" s="59" t="n"/>
      <c r="HS62" s="59" t="n"/>
      <c r="HT62" s="59" t="n"/>
      <c r="HU62" s="59" t="n"/>
      <c r="HV62" s="59" t="n"/>
      <c r="HW62" s="59" t="n"/>
      <c r="HX62" s="59" t="n"/>
      <c r="HY62" s="59" t="n"/>
      <c r="HZ62" s="59" t="n"/>
      <c r="IA62" s="59" t="n"/>
      <c r="IB62" s="59" t="n"/>
      <c r="IC62" s="59" t="n"/>
      <c r="ID62" s="59" t="n"/>
      <c r="IE62" s="59" t="n"/>
      <c r="IF62" s="59" t="n"/>
      <c r="IG62" s="59" t="n"/>
    </row>
    <row r="63">
      <c r="A63" s="181" t="n"/>
      <c r="B63" s="181" t="n"/>
      <c r="C63" s="181" t="n"/>
      <c r="D63" s="181" t="n"/>
      <c r="E63" s="181" t="n"/>
      <c r="F63" s="208" t="n">
        <v>57</v>
      </c>
      <c r="G63" s="209">
        <f>$C$39</f>
        <v/>
      </c>
      <c r="H63" s="209">
        <f>(J62*$C$16)/12</f>
        <v/>
      </c>
      <c r="I63" s="209">
        <f>G63-H63</f>
        <v/>
      </c>
      <c r="J63" s="209">
        <f>J62-I63</f>
        <v/>
      </c>
      <c r="K63" s="181" t="n"/>
      <c r="L63" s="181" t="n"/>
      <c r="M63" s="181" t="n"/>
      <c r="N63" s="181" t="n"/>
      <c r="O63" s="181" t="n"/>
      <c r="P63" s="181" t="n"/>
      <c r="Q63" s="181" t="n"/>
      <c r="R63" s="181" t="n"/>
      <c r="S63" s="181" t="n"/>
      <c r="T63" s="181" t="n"/>
      <c r="U63" s="181" t="n"/>
      <c r="V63" s="181" t="n"/>
      <c r="W63" s="181" t="n"/>
      <c r="X63" s="181" t="n"/>
      <c r="Y63" s="181" t="n"/>
      <c r="Z63" s="181" t="n"/>
      <c r="AA63" s="181" t="n"/>
      <c r="AB63" s="181"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59" t="n"/>
      <c r="BZ63" s="59" t="n"/>
      <c r="CA63" s="59" t="n"/>
      <c r="CB63" s="59" t="n"/>
      <c r="CC63" s="59" t="n"/>
      <c r="CD63" s="59" t="n"/>
      <c r="CE63" s="59" t="n"/>
      <c r="CF63" s="59" t="n"/>
      <c r="CG63" s="59" t="n"/>
      <c r="CH63" s="59" t="n"/>
      <c r="CI63" s="59" t="n"/>
      <c r="CJ63" s="59" t="n"/>
      <c r="CK63" s="59" t="n"/>
      <c r="CL63" s="59" t="n"/>
      <c r="CM63" s="59" t="n"/>
      <c r="CN63" s="59" t="n"/>
      <c r="CO63" s="59" t="n"/>
      <c r="CP63" s="59" t="n"/>
      <c r="CQ63" s="59" t="n"/>
      <c r="CR63" s="59" t="n"/>
      <c r="CS63" s="59" t="n"/>
      <c r="CT63" s="59" t="n"/>
      <c r="CU63" s="59" t="n"/>
      <c r="CV63" s="59" t="n"/>
      <c r="CW63" s="59" t="n"/>
      <c r="CX63" s="59" t="n"/>
      <c r="CY63" s="59" t="n"/>
      <c r="CZ63" s="59" t="n"/>
      <c r="DA63" s="59" t="n"/>
      <c r="DB63" s="59" t="n"/>
      <c r="DC63" s="59" t="n"/>
      <c r="DD63" s="59" t="n"/>
      <c r="DE63" s="59" t="n"/>
      <c r="DF63" s="59" t="n"/>
      <c r="DG63" s="59" t="n"/>
      <c r="DH63" s="59" t="n"/>
      <c r="DI63" s="59" t="n"/>
      <c r="DJ63" s="59" t="n"/>
      <c r="DK63" s="59" t="n"/>
      <c r="DL63" s="59" t="n"/>
      <c r="DM63" s="59" t="n"/>
      <c r="DN63" s="59" t="n"/>
      <c r="DO63" s="59" t="n"/>
      <c r="DP63" s="59" t="n"/>
      <c r="DQ63" s="59" t="n"/>
      <c r="DR63" s="59" t="n"/>
      <c r="DS63" s="59" t="n"/>
      <c r="DT63" s="59" t="n"/>
      <c r="DU63" s="59" t="n"/>
      <c r="DV63" s="59" t="n"/>
      <c r="DW63" s="59" t="n"/>
      <c r="DX63" s="59" t="n"/>
      <c r="DY63" s="59" t="n"/>
      <c r="DZ63" s="59" t="n"/>
      <c r="EA63" s="59" t="n"/>
      <c r="EB63" s="59" t="n"/>
      <c r="EC63" s="59" t="n"/>
      <c r="ED63" s="59" t="n"/>
      <c r="EE63" s="59" t="n"/>
      <c r="EF63" s="59" t="n"/>
      <c r="EG63" s="59" t="n"/>
      <c r="EH63" s="59" t="n"/>
      <c r="EI63" s="59" t="n"/>
      <c r="EJ63" s="59" t="n"/>
      <c r="EK63" s="59" t="n"/>
      <c r="EL63" s="59" t="n"/>
      <c r="EM63" s="59" t="n"/>
      <c r="EN63" s="59" t="n"/>
      <c r="EO63" s="59" t="n"/>
      <c r="EP63" s="59" t="n"/>
      <c r="EQ63" s="59" t="n"/>
      <c r="ER63" s="59" t="n"/>
      <c r="ES63" s="59" t="n"/>
      <c r="ET63" s="59" t="n"/>
      <c r="EU63" s="59" t="n"/>
      <c r="EV63" s="59" t="n"/>
      <c r="EW63" s="59" t="n"/>
      <c r="EX63" s="59" t="n"/>
      <c r="EY63" s="59" t="n"/>
      <c r="EZ63" s="59" t="n"/>
      <c r="FA63" s="59" t="n"/>
      <c r="FB63" s="59" t="n"/>
      <c r="FC63" s="59" t="n"/>
      <c r="FD63" s="59" t="n"/>
      <c r="FE63" s="59" t="n"/>
      <c r="FF63" s="59" t="n"/>
      <c r="FG63" s="59" t="n"/>
      <c r="FH63" s="59" t="n"/>
      <c r="FI63" s="59" t="n"/>
      <c r="FJ63" s="59" t="n"/>
      <c r="FK63" s="59" t="n"/>
      <c r="FL63" s="59" t="n"/>
      <c r="FM63" s="59" t="n"/>
      <c r="FN63" s="59" t="n"/>
      <c r="FO63" s="59" t="n"/>
      <c r="FP63" s="59" t="n"/>
      <c r="FQ63" s="59" t="n"/>
      <c r="FR63" s="59" t="n"/>
      <c r="FS63" s="59" t="n"/>
      <c r="FT63" s="59" t="n"/>
      <c r="FU63" s="59" t="n"/>
      <c r="FV63" s="59" t="n"/>
      <c r="FW63" s="59" t="n"/>
      <c r="FX63" s="59" t="n"/>
      <c r="FY63" s="59" t="n"/>
      <c r="FZ63" s="59" t="n"/>
      <c r="GA63" s="59" t="n"/>
      <c r="GB63" s="59" t="n"/>
      <c r="GC63" s="59" t="n"/>
      <c r="GD63" s="59" t="n"/>
      <c r="GE63" s="59" t="n"/>
      <c r="GF63" s="59" t="n"/>
      <c r="GG63" s="59" t="n"/>
      <c r="GH63" s="59" t="n"/>
      <c r="GI63" s="59" t="n"/>
      <c r="GJ63" s="59" t="n"/>
      <c r="GK63" s="59" t="n"/>
      <c r="GL63" s="59" t="n"/>
      <c r="GM63" s="59" t="n"/>
      <c r="GN63" s="59" t="n"/>
      <c r="GO63" s="59" t="n"/>
      <c r="GP63" s="59" t="n"/>
      <c r="GQ63" s="59" t="n"/>
      <c r="GR63" s="59" t="n"/>
      <c r="GS63" s="59" t="n"/>
      <c r="GT63" s="59" t="n"/>
      <c r="GU63" s="59" t="n"/>
      <c r="GV63" s="59" t="n"/>
      <c r="GW63" s="59" t="n"/>
      <c r="GX63" s="59" t="n"/>
      <c r="GY63" s="59" t="n"/>
      <c r="GZ63" s="59" t="n"/>
      <c r="HA63" s="59" t="n"/>
      <c r="HB63" s="59" t="n"/>
      <c r="HC63" s="59" t="n"/>
      <c r="HD63" s="59" t="n"/>
      <c r="HE63" s="59" t="n"/>
      <c r="HF63" s="59" t="n"/>
      <c r="HG63" s="59" t="n"/>
      <c r="HH63" s="59" t="n"/>
      <c r="HI63" s="59" t="n"/>
      <c r="HJ63" s="59" t="n"/>
      <c r="HK63" s="59" t="n"/>
      <c r="HL63" s="59" t="n"/>
      <c r="HM63" s="59" t="n"/>
      <c r="HN63" s="59" t="n"/>
      <c r="HO63" s="59" t="n"/>
      <c r="HP63" s="59" t="n"/>
      <c r="HQ63" s="59" t="n"/>
      <c r="HR63" s="59" t="n"/>
      <c r="HS63" s="59" t="n"/>
      <c r="HT63" s="59" t="n"/>
      <c r="HU63" s="59" t="n"/>
      <c r="HV63" s="59" t="n"/>
      <c r="HW63" s="59" t="n"/>
      <c r="HX63" s="59" t="n"/>
      <c r="HY63" s="59" t="n"/>
      <c r="HZ63" s="59" t="n"/>
      <c r="IA63" s="59" t="n"/>
      <c r="IB63" s="59" t="n"/>
      <c r="IC63" s="59" t="n"/>
      <c r="ID63" s="59" t="n"/>
      <c r="IE63" s="59" t="n"/>
      <c r="IF63" s="59" t="n"/>
      <c r="IG63" s="59" t="n"/>
    </row>
    <row r="64">
      <c r="A64" s="181" t="n"/>
      <c r="B64" s="181" t="n"/>
      <c r="C64" s="181" t="n"/>
      <c r="D64" s="181" t="n"/>
      <c r="E64" s="181" t="n"/>
      <c r="F64" s="208" t="n">
        <v>58</v>
      </c>
      <c r="G64" s="209">
        <f>$C$39</f>
        <v/>
      </c>
      <c r="H64" s="209">
        <f>(J63*$C$16)/12</f>
        <v/>
      </c>
      <c r="I64" s="209">
        <f>G64-H64</f>
        <v/>
      </c>
      <c r="J64" s="209">
        <f>J63-I64</f>
        <v/>
      </c>
      <c r="K64" s="181" t="n"/>
      <c r="L64" s="181" t="n"/>
      <c r="M64" s="181" t="n"/>
      <c r="N64" s="181" t="n"/>
      <c r="O64" s="181" t="n"/>
      <c r="P64" s="181" t="n"/>
      <c r="Q64" s="181" t="n"/>
      <c r="R64" s="181" t="n"/>
      <c r="S64" s="181" t="n"/>
      <c r="T64" s="181" t="n"/>
      <c r="U64" s="181" t="n"/>
      <c r="V64" s="181" t="n"/>
      <c r="W64" s="181" t="n"/>
      <c r="X64" s="181" t="n"/>
      <c r="Y64" s="181" t="n"/>
      <c r="Z64" s="181" t="n"/>
      <c r="AA64" s="181" t="n"/>
      <c r="AB64" s="181"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59" t="n"/>
      <c r="FI64" s="59" t="n"/>
      <c r="FJ64" s="59" t="n"/>
      <c r="FK64" s="59" t="n"/>
      <c r="FL64" s="59" t="n"/>
      <c r="FM64" s="59" t="n"/>
      <c r="FN64" s="59" t="n"/>
      <c r="FO64" s="59" t="n"/>
      <c r="FP64" s="59" t="n"/>
      <c r="FQ64" s="59" t="n"/>
      <c r="FR64" s="59" t="n"/>
      <c r="FS64" s="59" t="n"/>
      <c r="FT64" s="59" t="n"/>
      <c r="FU64" s="59" t="n"/>
      <c r="FV64" s="59" t="n"/>
      <c r="FW64" s="59" t="n"/>
      <c r="FX64" s="59" t="n"/>
      <c r="FY64" s="59" t="n"/>
      <c r="FZ64" s="59" t="n"/>
      <c r="GA64" s="59" t="n"/>
      <c r="GB64" s="59" t="n"/>
      <c r="GC64" s="59" t="n"/>
      <c r="GD64" s="59" t="n"/>
      <c r="GE64" s="59" t="n"/>
      <c r="GF64" s="59" t="n"/>
      <c r="GG64" s="59" t="n"/>
      <c r="GH64" s="59" t="n"/>
      <c r="GI64" s="59" t="n"/>
      <c r="GJ64" s="59" t="n"/>
      <c r="GK64" s="59" t="n"/>
      <c r="GL64" s="59" t="n"/>
      <c r="GM64" s="59" t="n"/>
      <c r="GN64" s="59" t="n"/>
      <c r="GO64" s="59" t="n"/>
      <c r="GP64" s="59" t="n"/>
      <c r="GQ64" s="59" t="n"/>
      <c r="GR64" s="59" t="n"/>
      <c r="GS64" s="59" t="n"/>
      <c r="GT64" s="59" t="n"/>
      <c r="GU64" s="59" t="n"/>
      <c r="GV64" s="59" t="n"/>
      <c r="GW64" s="59" t="n"/>
      <c r="GX64" s="59" t="n"/>
      <c r="GY64" s="59" t="n"/>
      <c r="GZ64" s="59" t="n"/>
      <c r="HA64" s="59" t="n"/>
      <c r="HB64" s="59" t="n"/>
      <c r="HC64" s="59" t="n"/>
      <c r="HD64" s="59" t="n"/>
      <c r="HE64" s="59" t="n"/>
      <c r="HF64" s="59" t="n"/>
      <c r="HG64" s="59" t="n"/>
      <c r="HH64" s="59" t="n"/>
      <c r="HI64" s="59" t="n"/>
      <c r="HJ64" s="59" t="n"/>
      <c r="HK64" s="59" t="n"/>
      <c r="HL64" s="59" t="n"/>
      <c r="HM64" s="59" t="n"/>
      <c r="HN64" s="59" t="n"/>
      <c r="HO64" s="59" t="n"/>
      <c r="HP64" s="59" t="n"/>
      <c r="HQ64" s="59" t="n"/>
      <c r="HR64" s="59" t="n"/>
      <c r="HS64" s="59" t="n"/>
      <c r="HT64" s="59" t="n"/>
      <c r="HU64" s="59" t="n"/>
      <c r="HV64" s="59" t="n"/>
      <c r="HW64" s="59" t="n"/>
      <c r="HX64" s="59" t="n"/>
      <c r="HY64" s="59" t="n"/>
      <c r="HZ64" s="59" t="n"/>
      <c r="IA64" s="59" t="n"/>
      <c r="IB64" s="59" t="n"/>
      <c r="IC64" s="59" t="n"/>
      <c r="ID64" s="59" t="n"/>
      <c r="IE64" s="59" t="n"/>
      <c r="IF64" s="59" t="n"/>
      <c r="IG64" s="59" t="n"/>
    </row>
    <row r="65">
      <c r="A65" s="181" t="n"/>
      <c r="B65" s="181" t="n"/>
      <c r="C65" s="181" t="n"/>
      <c r="D65" s="181" t="n"/>
      <c r="E65" s="181" t="n"/>
      <c r="F65" s="208" t="n">
        <v>59</v>
      </c>
      <c r="G65" s="209">
        <f>$C$39</f>
        <v/>
      </c>
      <c r="H65" s="209">
        <f>(J64*$C$16)/12</f>
        <v/>
      </c>
      <c r="I65" s="209">
        <f>G65-H65</f>
        <v/>
      </c>
      <c r="J65" s="209">
        <f>J64-I65</f>
        <v/>
      </c>
      <c r="K65" s="181" t="n"/>
      <c r="L65" s="181" t="n"/>
      <c r="M65" s="181" t="n"/>
      <c r="N65" s="181" t="n"/>
      <c r="O65" s="181" t="n"/>
      <c r="P65" s="181" t="n"/>
      <c r="Q65" s="181" t="n"/>
      <c r="R65" s="181" t="n"/>
      <c r="S65" s="181" t="n"/>
      <c r="T65" s="181" t="n"/>
      <c r="U65" s="181" t="n"/>
      <c r="V65" s="181" t="n"/>
      <c r="W65" s="181" t="n"/>
      <c r="X65" s="181" t="n"/>
      <c r="Y65" s="181" t="n"/>
      <c r="Z65" s="181" t="n"/>
      <c r="AA65" s="181" t="n"/>
      <c r="AB65" s="181" t="n"/>
    </row>
    <row r="66">
      <c r="A66" s="181" t="n"/>
      <c r="B66" s="181" t="n"/>
      <c r="C66" s="181" t="n"/>
      <c r="D66" s="181" t="n"/>
      <c r="E66" s="181" t="n"/>
      <c r="F66" s="483" t="n">
        <v>60</v>
      </c>
      <c r="G66" s="484">
        <f>$C$39</f>
        <v/>
      </c>
      <c r="H66" s="484">
        <f>(J65*$C$16)/12</f>
        <v/>
      </c>
      <c r="I66" s="484">
        <f>G66-H66</f>
        <v/>
      </c>
      <c r="J66" s="484">
        <f>J65-I66</f>
        <v/>
      </c>
      <c r="K66" s="181" t="n"/>
      <c r="L66" s="181" t="n"/>
      <c r="M66" s="181" t="n"/>
      <c r="N66" s="181" t="n"/>
      <c r="O66" s="181" t="n"/>
      <c r="P66" s="181" t="n"/>
      <c r="Q66" s="181" t="n"/>
      <c r="R66" s="181" t="n"/>
      <c r="S66" s="181" t="n"/>
      <c r="T66" s="181" t="n"/>
      <c r="U66" s="181" t="n"/>
      <c r="V66" s="181" t="n"/>
      <c r="W66" s="181" t="n"/>
      <c r="X66" s="181" t="n"/>
      <c r="Y66" s="181" t="n"/>
      <c r="Z66" s="181" t="n"/>
      <c r="AA66" s="181" t="n"/>
      <c r="AB66" s="181" t="n"/>
    </row>
    <row r="67">
      <c r="A67" s="181" t="n"/>
      <c r="B67" s="181" t="n"/>
      <c r="C67" s="181" t="n"/>
      <c r="D67" s="181" t="n"/>
      <c r="E67" s="181" t="n"/>
      <c r="F67" s="208" t="n">
        <v>61</v>
      </c>
      <c r="G67" s="209">
        <f>$C$39</f>
        <v/>
      </c>
      <c r="H67" s="209">
        <f>(J66*$C$16)/12</f>
        <v/>
      </c>
      <c r="I67" s="209">
        <f>G67-H67</f>
        <v/>
      </c>
      <c r="J67" s="209">
        <f>J66-I67</f>
        <v/>
      </c>
      <c r="K67" s="181" t="n"/>
      <c r="L67" s="181" t="n"/>
      <c r="M67" s="181" t="n"/>
      <c r="N67" s="181" t="n"/>
      <c r="O67" s="181" t="n"/>
      <c r="P67" s="181" t="n"/>
      <c r="Q67" s="181" t="n"/>
      <c r="R67" s="181" t="n"/>
      <c r="S67" s="181" t="n"/>
      <c r="T67" s="181" t="n"/>
      <c r="U67" s="181" t="n"/>
      <c r="V67" s="181" t="n"/>
      <c r="W67" s="181" t="n"/>
      <c r="X67" s="181" t="n"/>
      <c r="Y67" s="181" t="n"/>
      <c r="Z67" s="181" t="n"/>
      <c r="AA67" s="181" t="n"/>
      <c r="AB67" s="181" t="n"/>
    </row>
    <row r="68">
      <c r="A68" s="181" t="n"/>
      <c r="B68" s="181" t="n"/>
      <c r="C68" s="181" t="n"/>
      <c r="D68" s="181" t="n"/>
      <c r="E68" s="181" t="n"/>
      <c r="F68" s="208" t="n">
        <v>62</v>
      </c>
      <c r="G68" s="209">
        <f>$C$39</f>
        <v/>
      </c>
      <c r="H68" s="209">
        <f>(J67*$C$16)/12</f>
        <v/>
      </c>
      <c r="I68" s="209">
        <f>G68-H68</f>
        <v/>
      </c>
      <c r="J68" s="209">
        <f>J67-I68</f>
        <v/>
      </c>
      <c r="K68" s="181" t="n"/>
      <c r="L68" s="181" t="n"/>
      <c r="M68" s="181" t="n"/>
      <c r="N68" s="181" t="n"/>
      <c r="O68" s="181" t="n"/>
      <c r="P68" s="181" t="n"/>
      <c r="Q68" s="181" t="n"/>
      <c r="R68" s="181" t="n"/>
      <c r="S68" s="181" t="n"/>
      <c r="T68" s="181" t="n"/>
      <c r="U68" s="181" t="n"/>
      <c r="V68" s="181" t="n"/>
      <c r="W68" s="181" t="n"/>
      <c r="X68" s="181" t="n"/>
      <c r="Y68" s="181" t="n"/>
      <c r="Z68" s="181" t="n"/>
      <c r="AA68" s="181" t="n"/>
      <c r="AB68" s="181" t="n"/>
    </row>
    <row r="69">
      <c r="A69" s="181" t="n"/>
      <c r="B69" s="181" t="n"/>
      <c r="C69" s="181" t="n"/>
      <c r="D69" s="181" t="n"/>
      <c r="E69" s="181" t="n"/>
      <c r="F69" s="208" t="n">
        <v>63</v>
      </c>
      <c r="G69" s="209">
        <f>$C$39</f>
        <v/>
      </c>
      <c r="H69" s="209">
        <f>(J68*$C$16)/12</f>
        <v/>
      </c>
      <c r="I69" s="209">
        <f>G69-H69</f>
        <v/>
      </c>
      <c r="J69" s="209">
        <f>J68-I69</f>
        <v/>
      </c>
      <c r="K69" s="181" t="n"/>
      <c r="L69" s="181" t="n"/>
      <c r="M69" s="181" t="n"/>
      <c r="N69" s="181" t="n"/>
      <c r="O69" s="181" t="n"/>
      <c r="P69" s="181" t="n"/>
      <c r="Q69" s="181" t="n"/>
      <c r="R69" s="181" t="n"/>
      <c r="S69" s="181" t="n"/>
      <c r="T69" s="181" t="n"/>
      <c r="U69" s="181" t="n"/>
      <c r="V69" s="181" t="n"/>
      <c r="W69" s="181" t="n"/>
      <c r="X69" s="181" t="n"/>
      <c r="Y69" s="181" t="n"/>
      <c r="Z69" s="181" t="n"/>
      <c r="AA69" s="181" t="n"/>
      <c r="AB69" s="181" t="n"/>
    </row>
    <row r="70">
      <c r="A70" s="181" t="n"/>
      <c r="B70" s="181" t="n"/>
      <c r="C70" s="181" t="n"/>
      <c r="D70" s="181" t="n"/>
      <c r="E70" s="181" t="n"/>
      <c r="F70" s="208" t="n">
        <v>64</v>
      </c>
      <c r="G70" s="209">
        <f>$C$39</f>
        <v/>
      </c>
      <c r="H70" s="209">
        <f>(J69*$C$16)/12</f>
        <v/>
      </c>
      <c r="I70" s="209">
        <f>G70-H70</f>
        <v/>
      </c>
      <c r="J70" s="209">
        <f>J69-I70</f>
        <v/>
      </c>
      <c r="K70" s="181" t="n"/>
      <c r="L70" s="181" t="n"/>
      <c r="M70" s="181" t="n"/>
      <c r="N70" s="181" t="n"/>
      <c r="O70" s="181" t="n"/>
      <c r="P70" s="181" t="n"/>
      <c r="Q70" s="181" t="n"/>
      <c r="R70" s="181" t="n"/>
      <c r="S70" s="181" t="n"/>
      <c r="T70" s="181" t="n"/>
      <c r="U70" s="181" t="n"/>
      <c r="V70" s="181" t="n"/>
      <c r="W70" s="181" t="n"/>
      <c r="X70" s="181" t="n"/>
      <c r="Y70" s="181" t="n"/>
      <c r="Z70" s="181" t="n"/>
      <c r="AA70" s="181" t="n"/>
      <c r="AB70" s="181" t="n"/>
    </row>
    <row r="71">
      <c r="A71" s="181" t="n"/>
      <c r="B71" s="181" t="n"/>
      <c r="C71" s="181" t="n"/>
      <c r="D71" s="181" t="n"/>
      <c r="E71" s="181" t="n"/>
      <c r="F71" s="208" t="n">
        <v>65</v>
      </c>
      <c r="G71" s="209">
        <f>$C$39</f>
        <v/>
      </c>
      <c r="H71" s="209">
        <f>(J70*$C$16)/12</f>
        <v/>
      </c>
      <c r="I71" s="209">
        <f>G71-H71</f>
        <v/>
      </c>
      <c r="J71" s="209">
        <f>J70-I71</f>
        <v/>
      </c>
      <c r="K71" s="181" t="n"/>
      <c r="L71" s="181" t="n"/>
      <c r="M71" s="181" t="n"/>
      <c r="N71" s="181" t="n"/>
      <c r="O71" s="181" t="n"/>
      <c r="P71" s="181" t="n"/>
      <c r="Q71" s="181" t="n"/>
      <c r="R71" s="181" t="n"/>
      <c r="S71" s="181" t="n"/>
      <c r="T71" s="181" t="n"/>
      <c r="U71" s="181" t="n"/>
      <c r="V71" s="181" t="n"/>
      <c r="W71" s="181" t="n"/>
      <c r="X71" s="181" t="n"/>
      <c r="Y71" s="181" t="n"/>
      <c r="Z71" s="181" t="n"/>
      <c r="AA71" s="181" t="n"/>
      <c r="AB71" s="181" t="n"/>
    </row>
    <row r="72">
      <c r="A72" s="181" t="n"/>
      <c r="B72" s="181" t="n"/>
      <c r="C72" s="181" t="n"/>
      <c r="D72" s="181" t="n"/>
      <c r="E72" s="181" t="n"/>
      <c r="F72" s="208" t="n">
        <v>66</v>
      </c>
      <c r="G72" s="209">
        <f>$C$39</f>
        <v/>
      </c>
      <c r="H72" s="209">
        <f>(J71*$C$16)/12</f>
        <v/>
      </c>
      <c r="I72" s="209">
        <f>G72-H72</f>
        <v/>
      </c>
      <c r="J72" s="209">
        <f>J71-I72</f>
        <v/>
      </c>
      <c r="K72" s="181" t="n"/>
      <c r="L72" s="181" t="n"/>
      <c r="M72" s="181" t="n"/>
      <c r="N72" s="181" t="n"/>
      <c r="O72" s="181" t="n"/>
      <c r="P72" s="181" t="n"/>
      <c r="Q72" s="181" t="n"/>
      <c r="R72" s="181" t="n"/>
      <c r="S72" s="181" t="n"/>
      <c r="T72" s="181" t="n"/>
      <c r="U72" s="181" t="n"/>
      <c r="V72" s="181" t="n"/>
      <c r="W72" s="181" t="n"/>
      <c r="X72" s="181" t="n"/>
      <c r="Y72" s="181" t="n"/>
      <c r="Z72" s="181" t="n"/>
      <c r="AA72" s="181" t="n"/>
      <c r="AB72" s="181" t="n"/>
    </row>
    <row r="73">
      <c r="A73" s="181" t="n"/>
      <c r="B73" s="181" t="n"/>
      <c r="C73" s="181" t="n"/>
      <c r="D73" s="181" t="n"/>
      <c r="E73" s="181" t="n"/>
      <c r="F73" s="208" t="n">
        <v>67</v>
      </c>
      <c r="G73" s="209">
        <f>$C$39</f>
        <v/>
      </c>
      <c r="H73" s="209">
        <f>(J72*$C$16)/12</f>
        <v/>
      </c>
      <c r="I73" s="209">
        <f>G73-H73</f>
        <v/>
      </c>
      <c r="J73" s="209">
        <f>J72-I73</f>
        <v/>
      </c>
      <c r="K73" s="181" t="n"/>
      <c r="L73" s="181" t="n"/>
      <c r="M73" s="181" t="n"/>
      <c r="N73" s="181" t="n"/>
      <c r="O73" s="181" t="n"/>
      <c r="P73" s="181" t="n"/>
      <c r="Q73" s="181" t="n"/>
      <c r="R73" s="181" t="n"/>
      <c r="S73" s="181" t="n"/>
      <c r="T73" s="181" t="n"/>
      <c r="U73" s="181" t="n"/>
      <c r="V73" s="181" t="n"/>
      <c r="W73" s="181" t="n"/>
      <c r="X73" s="181" t="n"/>
      <c r="Y73" s="181" t="n"/>
      <c r="Z73" s="181" t="n"/>
      <c r="AA73" s="181" t="n"/>
      <c r="AB73" s="181" t="n"/>
    </row>
    <row r="74">
      <c r="A74" s="181" t="n"/>
      <c r="B74" s="181" t="n"/>
      <c r="C74" s="181" t="n"/>
      <c r="D74" s="181" t="n"/>
      <c r="E74" s="181" t="n"/>
      <c r="F74" s="208" t="n">
        <v>68</v>
      </c>
      <c r="G74" s="209">
        <f>$C$39</f>
        <v/>
      </c>
      <c r="H74" s="209">
        <f>(J73*$C$16)/12</f>
        <v/>
      </c>
      <c r="I74" s="209">
        <f>G74-H74</f>
        <v/>
      </c>
      <c r="J74" s="209">
        <f>J73-I74</f>
        <v/>
      </c>
      <c r="K74" s="181" t="n"/>
      <c r="L74" s="181" t="n"/>
      <c r="M74" s="181" t="n"/>
      <c r="N74" s="181" t="n"/>
      <c r="O74" s="181" t="n"/>
      <c r="P74" s="181" t="n"/>
      <c r="Q74" s="181" t="n"/>
      <c r="R74" s="181" t="n"/>
      <c r="S74" s="181" t="n"/>
      <c r="T74" s="181" t="n"/>
      <c r="U74" s="181" t="n"/>
      <c r="V74" s="181" t="n"/>
      <c r="W74" s="181" t="n"/>
      <c r="X74" s="181" t="n"/>
      <c r="Y74" s="181" t="n"/>
      <c r="Z74" s="181" t="n"/>
      <c r="AA74" s="181" t="n"/>
      <c r="AB74" s="181" t="n"/>
    </row>
    <row r="75">
      <c r="A75" s="181" t="n"/>
      <c r="B75" s="181" t="n"/>
      <c r="C75" s="181" t="n"/>
      <c r="D75" s="181" t="n"/>
      <c r="E75" s="181" t="n"/>
      <c r="F75" s="208" t="n">
        <v>69</v>
      </c>
      <c r="G75" s="209">
        <f>$C$39</f>
        <v/>
      </c>
      <c r="H75" s="209">
        <f>(J74*$C$16)/12</f>
        <v/>
      </c>
      <c r="I75" s="209">
        <f>G75-H75</f>
        <v/>
      </c>
      <c r="J75" s="209">
        <f>J74-I75</f>
        <v/>
      </c>
      <c r="K75" s="181" t="n"/>
      <c r="L75" s="181" t="n"/>
      <c r="M75" s="181" t="n"/>
      <c r="N75" s="181" t="n"/>
      <c r="O75" s="181" t="n"/>
      <c r="P75" s="181" t="n"/>
      <c r="Q75" s="181" t="n"/>
      <c r="R75" s="181" t="n"/>
      <c r="S75" s="181" t="n"/>
      <c r="T75" s="181" t="n"/>
      <c r="U75" s="181" t="n"/>
      <c r="V75" s="181" t="n"/>
      <c r="W75" s="181" t="n"/>
      <c r="X75" s="181" t="n"/>
      <c r="Y75" s="181" t="n"/>
      <c r="Z75" s="181" t="n"/>
      <c r="AA75" s="181" t="n"/>
      <c r="AB75" s="181" t="n"/>
    </row>
    <row r="76">
      <c r="A76" s="181" t="n"/>
      <c r="B76" s="181" t="n"/>
      <c r="C76" s="181" t="n"/>
      <c r="D76" s="181" t="n"/>
      <c r="E76" s="181" t="n"/>
      <c r="F76" s="208" t="n">
        <v>70</v>
      </c>
      <c r="G76" s="209">
        <f>$C$39</f>
        <v/>
      </c>
      <c r="H76" s="209">
        <f>(J75*$C$16)/12</f>
        <v/>
      </c>
      <c r="I76" s="209">
        <f>G76-H76</f>
        <v/>
      </c>
      <c r="J76" s="209">
        <f>J75-I76</f>
        <v/>
      </c>
      <c r="K76" s="181" t="n"/>
      <c r="L76" s="181" t="n"/>
      <c r="M76" s="181" t="n"/>
      <c r="N76" s="181" t="n"/>
      <c r="O76" s="181" t="n"/>
      <c r="P76" s="181" t="n"/>
      <c r="Q76" s="181" t="n"/>
      <c r="R76" s="181" t="n"/>
      <c r="S76" s="181" t="n"/>
      <c r="T76" s="181" t="n"/>
      <c r="U76" s="181" t="n"/>
      <c r="V76" s="181" t="n"/>
      <c r="W76" s="181" t="n"/>
      <c r="X76" s="181" t="n"/>
      <c r="Y76" s="181" t="n"/>
      <c r="Z76" s="181" t="n"/>
      <c r="AA76" s="181" t="n"/>
      <c r="AB76" s="181" t="n"/>
    </row>
    <row r="77">
      <c r="A77" s="181" t="n"/>
      <c r="B77" s="181" t="n"/>
      <c r="C77" s="181" t="n"/>
      <c r="D77" s="181" t="n"/>
      <c r="E77" s="181" t="n"/>
      <c r="F77" s="208" t="n">
        <v>71</v>
      </c>
      <c r="G77" s="209">
        <f>$C$39</f>
        <v/>
      </c>
      <c r="H77" s="209">
        <f>(J76*$C$16)/12</f>
        <v/>
      </c>
      <c r="I77" s="209">
        <f>G77-H77</f>
        <v/>
      </c>
      <c r="J77" s="209">
        <f>J76-I77</f>
        <v/>
      </c>
      <c r="K77" s="181" t="n"/>
      <c r="L77" s="181" t="n"/>
      <c r="M77" s="181" t="n"/>
      <c r="N77" s="181" t="n"/>
      <c r="O77" s="181" t="n"/>
      <c r="P77" s="181" t="n"/>
      <c r="Q77" s="181" t="n"/>
      <c r="R77" s="181" t="n"/>
      <c r="S77" s="181" t="n"/>
      <c r="T77" s="181" t="n"/>
      <c r="U77" s="181" t="n"/>
      <c r="V77" s="181" t="n"/>
      <c r="W77" s="181" t="n"/>
      <c r="X77" s="181" t="n"/>
      <c r="Y77" s="181" t="n"/>
      <c r="Z77" s="181" t="n"/>
      <c r="AA77" s="181" t="n"/>
      <c r="AB77" s="181" t="n"/>
    </row>
    <row r="78">
      <c r="A78" s="181" t="n"/>
      <c r="B78" s="181" t="n"/>
      <c r="C78" s="181" t="n"/>
      <c r="D78" s="181" t="n"/>
      <c r="E78" s="181" t="n"/>
      <c r="F78" s="491" t="n">
        <v>72</v>
      </c>
      <c r="G78" s="492">
        <f>$C$39</f>
        <v/>
      </c>
      <c r="H78" s="492">
        <f>(J77*$C$16)/12</f>
        <v/>
      </c>
      <c r="I78" s="492">
        <f>G78-H78</f>
        <v/>
      </c>
      <c r="J78" s="492">
        <f>J77-I78</f>
        <v/>
      </c>
      <c r="K78" s="181" t="n"/>
      <c r="L78" s="181" t="n"/>
      <c r="M78" s="181" t="n"/>
      <c r="N78" s="181" t="n"/>
      <c r="O78" s="181" t="n"/>
      <c r="P78" s="181" t="n"/>
      <c r="Q78" s="181" t="n"/>
      <c r="R78" s="181" t="n"/>
      <c r="S78" s="181" t="n"/>
      <c r="T78" s="181" t="n"/>
      <c r="U78" s="181" t="n"/>
      <c r="V78" s="181" t="n"/>
      <c r="W78" s="181" t="n"/>
      <c r="X78" s="181" t="n"/>
      <c r="Y78" s="181" t="n"/>
      <c r="Z78" s="181" t="n"/>
      <c r="AA78" s="181" t="n"/>
      <c r="AB78" s="181" t="n"/>
    </row>
    <row r="79">
      <c r="A79" s="181" t="n"/>
      <c r="B79" s="181" t="n"/>
      <c r="C79" s="181" t="n"/>
      <c r="D79" s="181" t="n"/>
      <c r="E79" s="181" t="n"/>
      <c r="F79" s="208" t="n">
        <v>73</v>
      </c>
      <c r="G79" s="209">
        <f>$C$39</f>
        <v/>
      </c>
      <c r="H79" s="209">
        <f>(J78*$C$16)/12</f>
        <v/>
      </c>
      <c r="I79" s="209">
        <f>G79-H79</f>
        <v/>
      </c>
      <c r="J79" s="209">
        <f>J78-I79</f>
        <v/>
      </c>
      <c r="K79" s="181" t="n"/>
      <c r="L79" s="181" t="n"/>
      <c r="M79" s="181" t="n"/>
      <c r="N79" s="181" t="n"/>
      <c r="O79" s="181" t="n"/>
      <c r="P79" s="181" t="n"/>
      <c r="Q79" s="181" t="n"/>
      <c r="R79" s="181" t="n"/>
      <c r="S79" s="181" t="n"/>
      <c r="T79" s="181" t="n"/>
      <c r="U79" s="181" t="n"/>
      <c r="V79" s="181" t="n"/>
      <c r="W79" s="181" t="n"/>
      <c r="X79" s="181" t="n"/>
      <c r="Y79" s="181" t="n"/>
      <c r="Z79" s="181" t="n"/>
      <c r="AA79" s="181" t="n"/>
      <c r="AB79" s="181" t="n"/>
    </row>
    <row r="80">
      <c r="A80" s="181" t="n"/>
      <c r="B80" s="181" t="n"/>
      <c r="C80" s="181" t="n"/>
      <c r="D80" s="181" t="n"/>
      <c r="E80" s="181" t="n"/>
      <c r="F80" s="208" t="n">
        <v>74</v>
      </c>
      <c r="G80" s="209">
        <f>$C$39</f>
        <v/>
      </c>
      <c r="H80" s="209">
        <f>(J79*$C$16)/12</f>
        <v/>
      </c>
      <c r="I80" s="209">
        <f>G80-H80</f>
        <v/>
      </c>
      <c r="J80" s="209">
        <f>J79-I80</f>
        <v/>
      </c>
      <c r="K80" s="181" t="n"/>
      <c r="L80" s="181" t="n"/>
      <c r="M80" s="181" t="n"/>
      <c r="N80" s="181" t="n"/>
      <c r="O80" s="181" t="n"/>
      <c r="P80" s="181" t="n"/>
      <c r="Q80" s="181" t="n"/>
      <c r="R80" s="181" t="n"/>
      <c r="S80" s="181" t="n"/>
      <c r="T80" s="181" t="n"/>
      <c r="U80" s="181" t="n"/>
      <c r="V80" s="181" t="n"/>
      <c r="W80" s="181" t="n"/>
      <c r="X80" s="181" t="n"/>
      <c r="Y80" s="181" t="n"/>
      <c r="Z80" s="181" t="n"/>
      <c r="AA80" s="181" t="n"/>
      <c r="AB80" s="181" t="n"/>
    </row>
    <row r="81">
      <c r="A81" s="181" t="n"/>
      <c r="B81" s="181" t="n"/>
      <c r="C81" s="181" t="n"/>
      <c r="D81" s="181" t="n"/>
      <c r="E81" s="181" t="n"/>
      <c r="F81" s="208" t="n">
        <v>75</v>
      </c>
      <c r="G81" s="209">
        <f>$C$39</f>
        <v/>
      </c>
      <c r="H81" s="209">
        <f>(J80*$C$16)/12</f>
        <v/>
      </c>
      <c r="I81" s="209">
        <f>G81-H81</f>
        <v/>
      </c>
      <c r="J81" s="209">
        <f>J80-I81</f>
        <v/>
      </c>
      <c r="K81" s="181" t="n"/>
      <c r="L81" s="181" t="n"/>
      <c r="M81" s="181" t="n"/>
      <c r="N81" s="181" t="n"/>
      <c r="O81" s="181" t="n"/>
      <c r="P81" s="181" t="n"/>
      <c r="Q81" s="181" t="n"/>
      <c r="R81" s="181" t="n"/>
      <c r="S81" s="181" t="n"/>
      <c r="T81" s="181" t="n"/>
      <c r="U81" s="181" t="n"/>
      <c r="V81" s="181" t="n"/>
      <c r="W81" s="181" t="n"/>
      <c r="X81" s="181" t="n"/>
      <c r="Y81" s="181" t="n"/>
      <c r="Z81" s="181" t="n"/>
      <c r="AA81" s="181" t="n"/>
      <c r="AB81" s="181" t="n"/>
    </row>
    <row r="82">
      <c r="A82" s="181" t="n"/>
      <c r="B82" s="181" t="n"/>
      <c r="C82" s="181" t="n"/>
      <c r="D82" s="181" t="n"/>
      <c r="E82" s="181" t="n"/>
      <c r="F82" s="208" t="n">
        <v>76</v>
      </c>
      <c r="G82" s="209">
        <f>$C$39</f>
        <v/>
      </c>
      <c r="H82" s="209">
        <f>(J81*$C$16)/12</f>
        <v/>
      </c>
      <c r="I82" s="209">
        <f>G82-H82</f>
        <v/>
      </c>
      <c r="J82" s="209">
        <f>J81-I82</f>
        <v/>
      </c>
      <c r="K82" s="181" t="n"/>
      <c r="L82" s="181" t="n"/>
      <c r="M82" s="181" t="n"/>
      <c r="N82" s="181" t="n"/>
      <c r="O82" s="181" t="n"/>
      <c r="P82" s="181" t="n"/>
      <c r="Q82" s="181" t="n"/>
      <c r="R82" s="181" t="n"/>
      <c r="S82" s="181" t="n"/>
      <c r="T82" s="181" t="n"/>
      <c r="U82" s="181" t="n"/>
      <c r="V82" s="181" t="n"/>
      <c r="W82" s="181" t="n"/>
      <c r="X82" s="181" t="n"/>
      <c r="Y82" s="181" t="n"/>
      <c r="Z82" s="181" t="n"/>
      <c r="AA82" s="181" t="n"/>
      <c r="AB82" s="181" t="n"/>
    </row>
    <row r="83">
      <c r="A83" s="181" t="n"/>
      <c r="B83" s="181" t="n"/>
      <c r="C83" s="181" t="n"/>
      <c r="D83" s="181" t="n"/>
      <c r="E83" s="181" t="n"/>
      <c r="F83" s="208" t="n">
        <v>77</v>
      </c>
      <c r="G83" s="209">
        <f>$C$39</f>
        <v/>
      </c>
      <c r="H83" s="209">
        <f>(J82*$C$16)/12</f>
        <v/>
      </c>
      <c r="I83" s="209">
        <f>G83-H83</f>
        <v/>
      </c>
      <c r="J83" s="209">
        <f>J82-I83</f>
        <v/>
      </c>
      <c r="K83" s="181" t="n"/>
      <c r="L83" s="181" t="n"/>
      <c r="M83" s="181" t="n"/>
      <c r="N83" s="181" t="n"/>
      <c r="O83" s="181" t="n"/>
      <c r="P83" s="181" t="n"/>
      <c r="Q83" s="181" t="n"/>
      <c r="R83" s="181" t="n"/>
      <c r="S83" s="181" t="n"/>
      <c r="T83" s="181" t="n"/>
      <c r="U83" s="181" t="n"/>
      <c r="V83" s="181" t="n"/>
      <c r="W83" s="181" t="n"/>
      <c r="X83" s="181" t="n"/>
      <c r="Y83" s="181" t="n"/>
      <c r="Z83" s="181" t="n"/>
      <c r="AA83" s="181" t="n"/>
      <c r="AB83" s="181" t="n"/>
    </row>
    <row r="84">
      <c r="A84" s="181" t="n"/>
      <c r="B84" s="181" t="n"/>
      <c r="C84" s="181" t="n"/>
      <c r="D84" s="181" t="n"/>
      <c r="E84" s="181" t="n"/>
      <c r="F84" s="208" t="n">
        <v>78</v>
      </c>
      <c r="G84" s="209">
        <f>$C$39</f>
        <v/>
      </c>
      <c r="H84" s="209">
        <f>(J83*$C$16)/12</f>
        <v/>
      </c>
      <c r="I84" s="209">
        <f>G84-H84</f>
        <v/>
      </c>
      <c r="J84" s="209">
        <f>J83-I84</f>
        <v/>
      </c>
      <c r="K84" s="181" t="n"/>
      <c r="L84" s="181" t="n"/>
      <c r="M84" s="181" t="n"/>
      <c r="N84" s="181" t="n"/>
      <c r="O84" s="181" t="n"/>
      <c r="P84" s="181" t="n"/>
      <c r="Q84" s="181" t="n"/>
      <c r="R84" s="181" t="n"/>
      <c r="S84" s="181" t="n"/>
      <c r="T84" s="181" t="n"/>
      <c r="U84" s="181" t="n"/>
      <c r="V84" s="181" t="n"/>
      <c r="W84" s="181" t="n"/>
      <c r="X84" s="181" t="n"/>
      <c r="Y84" s="181" t="n"/>
      <c r="Z84" s="181" t="n"/>
      <c r="AA84" s="181" t="n"/>
      <c r="AB84" s="181" t="n"/>
    </row>
    <row r="85">
      <c r="A85" s="181" t="n"/>
      <c r="B85" s="181" t="n"/>
      <c r="C85" s="181" t="n"/>
      <c r="D85" s="181" t="n"/>
      <c r="E85" s="181" t="n"/>
      <c r="F85" s="208" t="n">
        <v>79</v>
      </c>
      <c r="G85" s="209">
        <f>$C$39</f>
        <v/>
      </c>
      <c r="H85" s="209">
        <f>(J84*$C$16)/12</f>
        <v/>
      </c>
      <c r="I85" s="209">
        <f>G85-H85</f>
        <v/>
      </c>
      <c r="J85" s="209">
        <f>J84-I85</f>
        <v/>
      </c>
      <c r="K85" s="181" t="n"/>
      <c r="L85" s="181" t="n"/>
      <c r="M85" s="181" t="n"/>
      <c r="N85" s="181" t="n"/>
      <c r="O85" s="181" t="n"/>
      <c r="P85" s="181" t="n"/>
      <c r="Q85" s="181" t="n"/>
      <c r="R85" s="181" t="n"/>
      <c r="S85" s="181" t="n"/>
      <c r="T85" s="181" t="n"/>
      <c r="U85" s="181" t="n"/>
      <c r="V85" s="181" t="n"/>
      <c r="W85" s="181" t="n"/>
      <c r="X85" s="181" t="n"/>
      <c r="Y85" s="181" t="n"/>
      <c r="Z85" s="181" t="n"/>
      <c r="AA85" s="181" t="n"/>
      <c r="AB85" s="181" t="n"/>
    </row>
    <row r="86">
      <c r="A86" s="181" t="n"/>
      <c r="B86" s="181" t="n"/>
      <c r="C86" s="181" t="n"/>
      <c r="D86" s="181" t="n"/>
      <c r="E86" s="181" t="n"/>
      <c r="F86" s="208" t="n">
        <v>80</v>
      </c>
      <c r="G86" s="209">
        <f>$C$39</f>
        <v/>
      </c>
      <c r="H86" s="209">
        <f>(J85*$C$16)/12</f>
        <v/>
      </c>
      <c r="I86" s="209">
        <f>G86-H86</f>
        <v/>
      </c>
      <c r="J86" s="209">
        <f>J85-I86</f>
        <v/>
      </c>
      <c r="K86" s="181" t="n"/>
      <c r="L86" s="181" t="n"/>
      <c r="M86" s="181" t="n"/>
      <c r="N86" s="181" t="n"/>
      <c r="O86" s="181" t="n"/>
      <c r="P86" s="181" t="n"/>
      <c r="Q86" s="181" t="n"/>
      <c r="R86" s="181" t="n"/>
      <c r="S86" s="181" t="n"/>
      <c r="T86" s="181" t="n"/>
      <c r="U86" s="181" t="n"/>
      <c r="V86" s="181" t="n"/>
      <c r="W86" s="181" t="n"/>
      <c r="X86" s="181" t="n"/>
      <c r="Y86" s="181" t="n"/>
      <c r="Z86" s="181" t="n"/>
      <c r="AA86" s="181" t="n"/>
      <c r="AB86" s="181" t="n"/>
    </row>
    <row r="87">
      <c r="A87" s="181" t="n"/>
      <c r="B87" s="181" t="n"/>
      <c r="C87" s="181" t="n"/>
      <c r="D87" s="181" t="n"/>
      <c r="E87" s="181" t="n"/>
      <c r="F87" s="208" t="n">
        <v>81</v>
      </c>
      <c r="G87" s="209">
        <f>$C$39</f>
        <v/>
      </c>
      <c r="H87" s="209">
        <f>(J86*$C$16)/12</f>
        <v/>
      </c>
      <c r="I87" s="209">
        <f>G87-H87</f>
        <v/>
      </c>
      <c r="J87" s="209">
        <f>J86-I87</f>
        <v/>
      </c>
      <c r="K87" s="181" t="n"/>
      <c r="L87" s="181" t="n"/>
      <c r="M87" s="181" t="n"/>
      <c r="N87" s="181" t="n"/>
      <c r="O87" s="181" t="n"/>
      <c r="P87" s="181" t="n"/>
      <c r="Q87" s="181" t="n"/>
      <c r="R87" s="181" t="n"/>
      <c r="S87" s="181" t="n"/>
      <c r="T87" s="181" t="n"/>
      <c r="U87" s="181" t="n"/>
      <c r="V87" s="181" t="n"/>
      <c r="W87" s="181" t="n"/>
      <c r="X87" s="181" t="n"/>
      <c r="Y87" s="181" t="n"/>
      <c r="Z87" s="181" t="n"/>
      <c r="AA87" s="181" t="n"/>
      <c r="AB87" s="181" t="n"/>
    </row>
    <row r="88">
      <c r="A88" s="181" t="n"/>
      <c r="B88" s="181" t="n"/>
      <c r="C88" s="181" t="n"/>
      <c r="D88" s="181" t="n"/>
      <c r="E88" s="181" t="n"/>
      <c r="F88" s="208" t="n">
        <v>82</v>
      </c>
      <c r="G88" s="209">
        <f>$C$39</f>
        <v/>
      </c>
      <c r="H88" s="209">
        <f>(J87*$C$16)/12</f>
        <v/>
      </c>
      <c r="I88" s="209">
        <f>G88-H88</f>
        <v/>
      </c>
      <c r="J88" s="209">
        <f>J87-I88</f>
        <v/>
      </c>
      <c r="K88" s="181" t="n"/>
      <c r="L88" s="181" t="n"/>
      <c r="M88" s="181" t="n"/>
      <c r="N88" s="181" t="n"/>
      <c r="O88" s="181" t="n"/>
      <c r="P88" s="181" t="n"/>
      <c r="Q88" s="181" t="n"/>
      <c r="R88" s="181" t="n"/>
      <c r="S88" s="181" t="n"/>
      <c r="T88" s="181" t="n"/>
      <c r="U88" s="181" t="n"/>
      <c r="V88" s="181" t="n"/>
      <c r="W88" s="181" t="n"/>
      <c r="X88" s="181" t="n"/>
      <c r="Y88" s="181" t="n"/>
      <c r="Z88" s="181" t="n"/>
      <c r="AA88" s="181" t="n"/>
      <c r="AB88" s="181" t="n"/>
    </row>
    <row r="89">
      <c r="A89" s="181" t="n"/>
      <c r="B89" s="181" t="n"/>
      <c r="C89" s="181" t="n"/>
      <c r="D89" s="181" t="n"/>
      <c r="E89" s="181" t="n"/>
      <c r="F89" s="208" t="n">
        <v>83</v>
      </c>
      <c r="G89" s="209">
        <f>$C$39</f>
        <v/>
      </c>
      <c r="H89" s="209">
        <f>(J88*$C$16)/12</f>
        <v/>
      </c>
      <c r="I89" s="209">
        <f>G89-H89</f>
        <v/>
      </c>
      <c r="J89" s="209">
        <f>J88-I89</f>
        <v/>
      </c>
      <c r="K89" s="181" t="n"/>
      <c r="L89" s="181" t="n"/>
      <c r="M89" s="181" t="n"/>
      <c r="N89" s="181" t="n"/>
      <c r="O89" s="181" t="n"/>
      <c r="P89" s="181" t="n"/>
      <c r="Q89" s="181" t="n"/>
      <c r="R89" s="181" t="n"/>
      <c r="S89" s="181" t="n"/>
      <c r="T89" s="181" t="n"/>
      <c r="U89" s="181" t="n"/>
      <c r="V89" s="181" t="n"/>
      <c r="W89" s="181" t="n"/>
      <c r="X89" s="181" t="n"/>
      <c r="Y89" s="181" t="n"/>
      <c r="Z89" s="181" t="n"/>
      <c r="AA89" s="181" t="n"/>
      <c r="AB89" s="181" t="n"/>
    </row>
    <row r="90">
      <c r="A90" s="181" t="n"/>
      <c r="B90" s="181" t="n"/>
      <c r="C90" s="181" t="n"/>
      <c r="D90" s="181" t="n"/>
      <c r="E90" s="181" t="n"/>
      <c r="F90" s="485" t="n">
        <v>84</v>
      </c>
      <c r="G90" s="486">
        <f>$C$39</f>
        <v/>
      </c>
      <c r="H90" s="486">
        <f>(J89*$C$16)/12</f>
        <v/>
      </c>
      <c r="I90" s="486">
        <f>G90-H90</f>
        <v/>
      </c>
      <c r="J90" s="486">
        <f>J89-I90</f>
        <v/>
      </c>
      <c r="K90" s="181" t="n"/>
      <c r="L90" s="181" t="n"/>
      <c r="M90" s="181" t="n"/>
      <c r="N90" s="181" t="n"/>
      <c r="O90" s="181" t="n"/>
      <c r="P90" s="181" t="n"/>
      <c r="Q90" s="181" t="n"/>
      <c r="R90" s="181" t="n"/>
      <c r="S90" s="181" t="n"/>
      <c r="T90" s="181" t="n"/>
      <c r="U90" s="181" t="n"/>
      <c r="V90" s="181" t="n"/>
      <c r="W90" s="181" t="n"/>
      <c r="X90" s="181" t="n"/>
      <c r="Y90" s="181" t="n"/>
      <c r="Z90" s="181" t="n"/>
      <c r="AA90" s="181" t="n"/>
      <c r="AB90" s="181" t="n"/>
    </row>
    <row r="91">
      <c r="A91" s="181" t="n"/>
      <c r="B91" s="181" t="n"/>
      <c r="C91" s="181" t="n"/>
      <c r="D91" s="181" t="n"/>
      <c r="E91" s="181" t="n"/>
      <c r="F91" s="208" t="n">
        <v>85</v>
      </c>
      <c r="G91" s="209">
        <f>$C$39</f>
        <v/>
      </c>
      <c r="H91" s="209">
        <f>(J90*$C$16)/12</f>
        <v/>
      </c>
      <c r="I91" s="209">
        <f>G91-H91</f>
        <v/>
      </c>
      <c r="J91" s="209">
        <f>J90-I91</f>
        <v/>
      </c>
      <c r="K91" s="181" t="n"/>
      <c r="L91" s="181" t="n"/>
      <c r="M91" s="181" t="n"/>
      <c r="N91" s="181" t="n"/>
      <c r="O91" s="181" t="n"/>
      <c r="P91" s="181" t="n"/>
      <c r="Q91" s="181" t="n"/>
      <c r="R91" s="181" t="n"/>
      <c r="S91" s="181" t="n"/>
      <c r="T91" s="181" t="n"/>
      <c r="U91" s="181" t="n"/>
      <c r="V91" s="181" t="n"/>
      <c r="W91" s="181" t="n"/>
      <c r="X91" s="181" t="n"/>
      <c r="Y91" s="181" t="n"/>
      <c r="Z91" s="181" t="n"/>
      <c r="AA91" s="181" t="n"/>
      <c r="AB91" s="181" t="n"/>
    </row>
    <row r="92">
      <c r="A92" s="181" t="n"/>
      <c r="B92" s="181" t="n"/>
      <c r="C92" s="181" t="n"/>
      <c r="D92" s="181" t="n"/>
      <c r="E92" s="181" t="n"/>
      <c r="F92" s="208" t="n">
        <v>86</v>
      </c>
      <c r="G92" s="209">
        <f>$C$39</f>
        <v/>
      </c>
      <c r="H92" s="209">
        <f>(J91*$C$16)/12</f>
        <v/>
      </c>
      <c r="I92" s="209">
        <f>G92-H92</f>
        <v/>
      </c>
      <c r="J92" s="209">
        <f>J91-I92</f>
        <v/>
      </c>
      <c r="K92" s="181" t="n"/>
      <c r="L92" s="181" t="n"/>
      <c r="M92" s="181" t="n"/>
      <c r="N92" s="181" t="n"/>
      <c r="O92" s="181" t="n"/>
      <c r="P92" s="181" t="n"/>
      <c r="Q92" s="181" t="n"/>
      <c r="R92" s="181" t="n"/>
      <c r="S92" s="181" t="n"/>
      <c r="T92" s="181" t="n"/>
      <c r="U92" s="181" t="n"/>
      <c r="V92" s="181" t="n"/>
      <c r="W92" s="181" t="n"/>
      <c r="X92" s="181" t="n"/>
      <c r="Y92" s="181" t="n"/>
      <c r="Z92" s="181" t="n"/>
      <c r="AA92" s="181" t="n"/>
      <c r="AB92" s="181" t="n"/>
    </row>
    <row r="93">
      <c r="A93" s="181" t="n"/>
      <c r="B93" s="181" t="n"/>
      <c r="C93" s="181" t="n"/>
      <c r="D93" s="181" t="n"/>
      <c r="E93" s="181" t="n"/>
      <c r="F93" s="208" t="n">
        <v>87</v>
      </c>
      <c r="G93" s="209">
        <f>$C$39</f>
        <v/>
      </c>
      <c r="H93" s="209">
        <f>(J92*$C$16)/12</f>
        <v/>
      </c>
      <c r="I93" s="209">
        <f>G93-H93</f>
        <v/>
      </c>
      <c r="J93" s="209">
        <f>J92-I93</f>
        <v/>
      </c>
      <c r="K93" s="181" t="n"/>
      <c r="L93" s="181" t="n"/>
      <c r="M93" s="181" t="n"/>
      <c r="N93" s="181" t="n"/>
      <c r="O93" s="181" t="n"/>
      <c r="P93" s="181" t="n"/>
      <c r="Q93" s="181" t="n"/>
      <c r="R93" s="181" t="n"/>
      <c r="S93" s="181" t="n"/>
      <c r="T93" s="181" t="n"/>
      <c r="U93" s="181" t="n"/>
      <c r="V93" s="181" t="n"/>
      <c r="W93" s="181" t="n"/>
      <c r="X93" s="181" t="n"/>
      <c r="Y93" s="181" t="n"/>
      <c r="Z93" s="181" t="n"/>
      <c r="AA93" s="181" t="n"/>
      <c r="AB93" s="181" t="n"/>
    </row>
    <row r="94">
      <c r="A94" s="181" t="n"/>
      <c r="B94" s="181" t="n"/>
      <c r="C94" s="181" t="n"/>
      <c r="D94" s="181" t="n"/>
      <c r="E94" s="181" t="n"/>
      <c r="F94" s="208" t="n">
        <v>88</v>
      </c>
      <c r="G94" s="209">
        <f>$C$39</f>
        <v/>
      </c>
      <c r="H94" s="209">
        <f>(J93*$C$16)/12</f>
        <v/>
      </c>
      <c r="I94" s="209">
        <f>G94-H94</f>
        <v/>
      </c>
      <c r="J94" s="209">
        <f>J93-I94</f>
        <v/>
      </c>
      <c r="K94" s="181" t="n"/>
      <c r="L94" s="181" t="n"/>
      <c r="M94" s="181" t="n"/>
      <c r="N94" s="181" t="n"/>
      <c r="O94" s="181" t="n"/>
      <c r="P94" s="181" t="n"/>
      <c r="Q94" s="181" t="n"/>
      <c r="R94" s="181" t="n"/>
      <c r="S94" s="181" t="n"/>
      <c r="T94" s="181" t="n"/>
      <c r="U94" s="181" t="n"/>
      <c r="V94" s="181" t="n"/>
      <c r="W94" s="181" t="n"/>
      <c r="X94" s="181" t="n"/>
      <c r="Y94" s="181" t="n"/>
      <c r="Z94" s="181" t="n"/>
      <c r="AA94" s="181" t="n"/>
      <c r="AB94" s="181" t="n"/>
    </row>
    <row r="95">
      <c r="A95" s="181" t="n"/>
      <c r="B95" s="181" t="n"/>
      <c r="C95" s="181" t="n"/>
      <c r="D95" s="181" t="n"/>
      <c r="E95" s="181" t="n"/>
      <c r="F95" s="208" t="n">
        <v>89</v>
      </c>
      <c r="G95" s="209">
        <f>$C$39</f>
        <v/>
      </c>
      <c r="H95" s="209">
        <f>(J94*$C$16)/12</f>
        <v/>
      </c>
      <c r="I95" s="209">
        <f>G95-H95</f>
        <v/>
      </c>
      <c r="J95" s="209">
        <f>J94-I95</f>
        <v/>
      </c>
      <c r="K95" s="181" t="n"/>
      <c r="L95" s="181" t="n"/>
      <c r="M95" s="181" t="n"/>
      <c r="N95" s="181" t="n"/>
      <c r="O95" s="181" t="n"/>
      <c r="P95" s="181" t="n"/>
      <c r="Q95" s="181" t="n"/>
      <c r="R95" s="181" t="n"/>
      <c r="S95" s="181" t="n"/>
      <c r="T95" s="181" t="n"/>
      <c r="U95" s="181" t="n"/>
      <c r="V95" s="181" t="n"/>
      <c r="W95" s="181" t="n"/>
      <c r="X95" s="181" t="n"/>
      <c r="Y95" s="181" t="n"/>
      <c r="Z95" s="181" t="n"/>
      <c r="AA95" s="181" t="n"/>
      <c r="AB95" s="181" t="n"/>
    </row>
    <row r="96">
      <c r="A96" s="181" t="n"/>
      <c r="B96" s="181" t="n"/>
      <c r="C96" s="181" t="n"/>
      <c r="D96" s="181" t="n"/>
      <c r="E96" s="181" t="n"/>
      <c r="F96" s="208" t="n">
        <v>90</v>
      </c>
      <c r="G96" s="209">
        <f>$C$39</f>
        <v/>
      </c>
      <c r="H96" s="209">
        <f>(J95*$C$16)/12</f>
        <v/>
      </c>
      <c r="I96" s="209">
        <f>G96-H96</f>
        <v/>
      </c>
      <c r="J96" s="209">
        <f>J95-I96</f>
        <v/>
      </c>
      <c r="K96" s="181" t="n"/>
      <c r="L96" s="181" t="n"/>
      <c r="M96" s="181" t="n"/>
      <c r="N96" s="181" t="n"/>
      <c r="O96" s="181" t="n"/>
      <c r="P96" s="181" t="n"/>
      <c r="Q96" s="181" t="n"/>
      <c r="R96" s="181" t="n"/>
      <c r="S96" s="181" t="n"/>
      <c r="T96" s="181" t="n"/>
      <c r="U96" s="181" t="n"/>
      <c r="V96" s="181" t="n"/>
      <c r="W96" s="181" t="n"/>
      <c r="X96" s="181" t="n"/>
      <c r="Y96" s="181" t="n"/>
      <c r="Z96" s="181" t="n"/>
      <c r="AA96" s="181" t="n"/>
      <c r="AB96" s="181" t="n"/>
    </row>
    <row r="97">
      <c r="A97" s="181" t="n"/>
      <c r="B97" s="181" t="n"/>
      <c r="C97" s="181" t="n"/>
      <c r="D97" s="181" t="n"/>
      <c r="E97" s="181" t="n"/>
      <c r="F97" s="208" t="n">
        <v>91</v>
      </c>
      <c r="G97" s="209">
        <f>$C$39</f>
        <v/>
      </c>
      <c r="H97" s="209">
        <f>(J96*$C$16)/12</f>
        <v/>
      </c>
      <c r="I97" s="209">
        <f>G97-H97</f>
        <v/>
      </c>
      <c r="J97" s="209">
        <f>J96-I97</f>
        <v/>
      </c>
      <c r="K97" s="181" t="n"/>
      <c r="L97" s="181" t="n"/>
      <c r="M97" s="181" t="n"/>
      <c r="N97" s="181" t="n"/>
      <c r="O97" s="181" t="n"/>
      <c r="P97" s="181" t="n"/>
      <c r="Q97" s="181" t="n"/>
      <c r="R97" s="181" t="n"/>
      <c r="S97" s="181" t="n"/>
      <c r="T97" s="181" t="n"/>
      <c r="U97" s="181" t="n"/>
      <c r="V97" s="181" t="n"/>
      <c r="W97" s="181" t="n"/>
      <c r="X97" s="181" t="n"/>
      <c r="Y97" s="181" t="n"/>
      <c r="Z97" s="181" t="n"/>
      <c r="AA97" s="181" t="n"/>
      <c r="AB97" s="181" t="n"/>
    </row>
    <row r="98">
      <c r="A98" s="181" t="n"/>
      <c r="B98" s="181" t="n"/>
      <c r="C98" s="181" t="n"/>
      <c r="D98" s="181" t="n"/>
      <c r="E98" s="181" t="n"/>
      <c r="F98" s="208" t="n">
        <v>92</v>
      </c>
      <c r="G98" s="209">
        <f>$C$39</f>
        <v/>
      </c>
      <c r="H98" s="209">
        <f>(J97*$C$16)/12</f>
        <v/>
      </c>
      <c r="I98" s="209">
        <f>G98-H98</f>
        <v/>
      </c>
      <c r="J98" s="209">
        <f>J97-I98</f>
        <v/>
      </c>
      <c r="K98" s="181" t="n"/>
      <c r="L98" s="181" t="n"/>
      <c r="M98" s="181" t="n"/>
      <c r="N98" s="181" t="n"/>
      <c r="O98" s="181" t="n"/>
      <c r="P98" s="181" t="n"/>
      <c r="Q98" s="181" t="n"/>
      <c r="R98" s="181" t="n"/>
      <c r="S98" s="181" t="n"/>
      <c r="T98" s="181" t="n"/>
      <c r="U98" s="181" t="n"/>
      <c r="V98" s="181" t="n"/>
      <c r="W98" s="181" t="n"/>
      <c r="X98" s="181" t="n"/>
      <c r="Y98" s="181" t="n"/>
      <c r="Z98" s="181" t="n"/>
      <c r="AA98" s="181" t="n"/>
      <c r="AB98" s="181" t="n"/>
    </row>
    <row r="99">
      <c r="A99" s="181" t="n"/>
      <c r="B99" s="181" t="n"/>
      <c r="C99" s="181" t="n"/>
      <c r="D99" s="181" t="n"/>
      <c r="E99" s="181" t="n"/>
      <c r="F99" s="208" t="n">
        <v>93</v>
      </c>
      <c r="G99" s="209">
        <f>$C$39</f>
        <v/>
      </c>
      <c r="H99" s="209">
        <f>(J98*$C$16)/12</f>
        <v/>
      </c>
      <c r="I99" s="209">
        <f>G99-H99</f>
        <v/>
      </c>
      <c r="J99" s="209">
        <f>J98-I99</f>
        <v/>
      </c>
      <c r="K99" s="181" t="n"/>
      <c r="L99" s="181" t="n"/>
      <c r="M99" s="181" t="n"/>
      <c r="N99" s="181" t="n"/>
      <c r="O99" s="181" t="n"/>
      <c r="P99" s="181" t="n"/>
      <c r="Q99" s="181" t="n"/>
      <c r="R99" s="181" t="n"/>
      <c r="S99" s="181" t="n"/>
      <c r="T99" s="181" t="n"/>
      <c r="U99" s="181" t="n"/>
      <c r="V99" s="181" t="n"/>
      <c r="W99" s="181" t="n"/>
      <c r="X99" s="181" t="n"/>
      <c r="Y99" s="181" t="n"/>
      <c r="Z99" s="181" t="n"/>
      <c r="AA99" s="181" t="n"/>
      <c r="AB99" s="181" t="n"/>
    </row>
    <row r="100">
      <c r="A100" s="181" t="n"/>
      <c r="B100" s="181" t="n"/>
      <c r="C100" s="181" t="n"/>
      <c r="D100" s="181" t="n"/>
      <c r="E100" s="181" t="n"/>
      <c r="F100" s="208" t="n">
        <v>94</v>
      </c>
      <c r="G100" s="209">
        <f>$C$39</f>
        <v/>
      </c>
      <c r="H100" s="209">
        <f>(J99*$C$16)/12</f>
        <v/>
      </c>
      <c r="I100" s="209">
        <f>G100-H100</f>
        <v/>
      </c>
      <c r="J100" s="209">
        <f>J99-I100</f>
        <v/>
      </c>
      <c r="K100" s="181" t="n"/>
      <c r="L100" s="181" t="n"/>
      <c r="M100" s="181" t="n"/>
      <c r="N100" s="181" t="n"/>
      <c r="O100" s="181" t="n"/>
      <c r="P100" s="181" t="n"/>
      <c r="Q100" s="181" t="n"/>
      <c r="R100" s="181" t="n"/>
      <c r="S100" s="181" t="n"/>
      <c r="T100" s="181" t="n"/>
      <c r="U100" s="181" t="n"/>
      <c r="V100" s="181" t="n"/>
      <c r="W100" s="181" t="n"/>
      <c r="X100" s="181" t="n"/>
      <c r="Y100" s="181" t="n"/>
      <c r="Z100" s="181" t="n"/>
      <c r="AA100" s="181" t="n"/>
      <c r="AB100" s="181" t="n"/>
    </row>
    <row r="101">
      <c r="A101" s="181" t="n"/>
      <c r="B101" s="181" t="n"/>
      <c r="C101" s="181" t="n"/>
      <c r="D101" s="181" t="n"/>
      <c r="E101" s="181" t="n"/>
      <c r="F101" s="208" t="n">
        <v>95</v>
      </c>
      <c r="G101" s="209">
        <f>$C$39</f>
        <v/>
      </c>
      <c r="H101" s="209">
        <f>(J100*$C$16)/12</f>
        <v/>
      </c>
      <c r="I101" s="209">
        <f>G101-H101</f>
        <v/>
      </c>
      <c r="J101" s="209">
        <f>J100-I101</f>
        <v/>
      </c>
      <c r="K101" s="181" t="n"/>
      <c r="L101" s="181" t="n"/>
      <c r="M101" s="181" t="n"/>
      <c r="N101" s="181" t="n"/>
      <c r="O101" s="181" t="n"/>
      <c r="P101" s="181" t="n"/>
      <c r="Q101" s="181" t="n"/>
      <c r="R101" s="181" t="n"/>
      <c r="S101" s="181" t="n"/>
      <c r="T101" s="181" t="n"/>
      <c r="U101" s="181" t="n"/>
      <c r="V101" s="181" t="n"/>
      <c r="W101" s="181" t="n"/>
      <c r="X101" s="181" t="n"/>
      <c r="Y101" s="181" t="n"/>
      <c r="Z101" s="181" t="n"/>
      <c r="AA101" s="181" t="n"/>
      <c r="AB101" s="181" t="n"/>
    </row>
    <row r="102">
      <c r="A102" s="181" t="n"/>
      <c r="B102" s="181" t="n"/>
      <c r="C102" s="181" t="n"/>
      <c r="D102" s="181" t="n"/>
      <c r="E102" s="181" t="n"/>
      <c r="F102" s="491" t="n">
        <v>96</v>
      </c>
      <c r="G102" s="492">
        <f>$C$39</f>
        <v/>
      </c>
      <c r="H102" s="492">
        <f>(J101*$C$16)/12</f>
        <v/>
      </c>
      <c r="I102" s="492">
        <f>G102-H102</f>
        <v/>
      </c>
      <c r="J102" s="492">
        <f>J101-I102</f>
        <v/>
      </c>
      <c r="K102" s="181" t="n"/>
      <c r="L102" s="181" t="n"/>
      <c r="M102" s="181" t="n"/>
      <c r="N102" s="181" t="n"/>
      <c r="O102" s="181" t="n"/>
      <c r="P102" s="181" t="n"/>
      <c r="Q102" s="181" t="n"/>
      <c r="R102" s="181" t="n"/>
      <c r="S102" s="181" t="n"/>
      <c r="T102" s="181" t="n"/>
      <c r="U102" s="181" t="n"/>
      <c r="V102" s="181" t="n"/>
      <c r="W102" s="181" t="n"/>
      <c r="X102" s="181" t="n"/>
      <c r="Y102" s="181" t="n"/>
      <c r="Z102" s="181" t="n"/>
      <c r="AA102" s="181" t="n"/>
      <c r="AB102" s="181" t="n"/>
    </row>
    <row r="103">
      <c r="A103" s="181" t="n"/>
      <c r="B103" s="181" t="n"/>
      <c r="C103" s="181" t="n"/>
      <c r="D103" s="181" t="n"/>
      <c r="E103" s="181" t="n"/>
      <c r="F103" s="208" t="n">
        <v>97</v>
      </c>
      <c r="G103" s="209">
        <f>$C$39</f>
        <v/>
      </c>
      <c r="H103" s="209">
        <f>(J102*$C$16)/12</f>
        <v/>
      </c>
      <c r="I103" s="209">
        <f>G103-H103</f>
        <v/>
      </c>
      <c r="J103" s="209">
        <f>J102-I103</f>
        <v/>
      </c>
      <c r="K103" s="181" t="n"/>
      <c r="L103" s="181" t="n"/>
      <c r="M103" s="181" t="n"/>
      <c r="N103" s="181" t="n"/>
      <c r="O103" s="181" t="n"/>
      <c r="P103" s="181" t="n"/>
      <c r="Q103" s="181" t="n"/>
      <c r="R103" s="181" t="n"/>
      <c r="S103" s="181" t="n"/>
      <c r="T103" s="181" t="n"/>
      <c r="U103" s="181" t="n"/>
      <c r="V103" s="181" t="n"/>
      <c r="W103" s="181" t="n"/>
      <c r="X103" s="181" t="n"/>
      <c r="Y103" s="181" t="n"/>
      <c r="Z103" s="181" t="n"/>
      <c r="AA103" s="181" t="n"/>
      <c r="AB103" s="181" t="n"/>
    </row>
    <row r="104">
      <c r="A104" s="181" t="n"/>
      <c r="B104" s="181" t="n"/>
      <c r="C104" s="181" t="n"/>
      <c r="D104" s="181" t="n"/>
      <c r="E104" s="181" t="n"/>
      <c r="F104" s="208" t="n">
        <v>98</v>
      </c>
      <c r="G104" s="209">
        <f>$C$39</f>
        <v/>
      </c>
      <c r="H104" s="209">
        <f>(J103*$C$16)/12</f>
        <v/>
      </c>
      <c r="I104" s="209">
        <f>G104-H104</f>
        <v/>
      </c>
      <c r="J104" s="209">
        <f>J103-I104</f>
        <v/>
      </c>
      <c r="K104" s="181" t="n"/>
      <c r="L104" s="181" t="n"/>
      <c r="M104" s="181" t="n"/>
      <c r="N104" s="181" t="n"/>
      <c r="O104" s="181" t="n"/>
      <c r="P104" s="181" t="n"/>
      <c r="Q104" s="181" t="n"/>
      <c r="R104" s="181" t="n"/>
      <c r="S104" s="181" t="n"/>
      <c r="T104" s="181" t="n"/>
      <c r="U104" s="181" t="n"/>
      <c r="V104" s="181" t="n"/>
      <c r="W104" s="181" t="n"/>
      <c r="X104" s="181" t="n"/>
      <c r="Y104" s="181" t="n"/>
      <c r="Z104" s="181" t="n"/>
      <c r="AA104" s="181" t="n"/>
      <c r="AB104" s="181" t="n"/>
    </row>
    <row r="105">
      <c r="A105" s="181" t="n"/>
      <c r="B105" s="181" t="n"/>
      <c r="C105" s="181" t="n"/>
      <c r="D105" s="181" t="n"/>
      <c r="E105" s="181" t="n"/>
      <c r="F105" s="208" t="n">
        <v>99</v>
      </c>
      <c r="G105" s="209">
        <f>$C$39</f>
        <v/>
      </c>
      <c r="H105" s="209">
        <f>(J104*$C$16)/12</f>
        <v/>
      </c>
      <c r="I105" s="209">
        <f>G105-H105</f>
        <v/>
      </c>
      <c r="J105" s="209">
        <f>J104-I105</f>
        <v/>
      </c>
      <c r="K105" s="181" t="n"/>
      <c r="L105" s="181" t="n"/>
      <c r="M105" s="181" t="n"/>
      <c r="N105" s="181" t="n"/>
      <c r="O105" s="181" t="n"/>
      <c r="P105" s="181" t="n"/>
      <c r="Q105" s="181" t="n"/>
      <c r="R105" s="181" t="n"/>
      <c r="S105" s="181" t="n"/>
      <c r="T105" s="181" t="n"/>
      <c r="U105" s="181" t="n"/>
      <c r="V105" s="181" t="n"/>
      <c r="W105" s="181" t="n"/>
      <c r="X105" s="181" t="n"/>
      <c r="Y105" s="181" t="n"/>
      <c r="Z105" s="181" t="n"/>
      <c r="AA105" s="181" t="n"/>
      <c r="AB105" s="181" t="n"/>
    </row>
    <row r="106">
      <c r="A106" s="181" t="n"/>
      <c r="B106" s="181" t="n"/>
      <c r="C106" s="181" t="n"/>
      <c r="D106" s="181" t="n"/>
      <c r="E106" s="181" t="n"/>
      <c r="F106" s="208" t="n">
        <v>100</v>
      </c>
      <c r="G106" s="209">
        <f>$C$39</f>
        <v/>
      </c>
      <c r="H106" s="209">
        <f>(J105*$C$16)/12</f>
        <v/>
      </c>
      <c r="I106" s="209">
        <f>G106-H106</f>
        <v/>
      </c>
      <c r="J106" s="209">
        <f>J105-I106</f>
        <v/>
      </c>
      <c r="K106" s="181" t="n"/>
      <c r="L106" s="181" t="n"/>
      <c r="M106" s="181" t="n"/>
      <c r="N106" s="181" t="n"/>
      <c r="O106" s="181" t="n"/>
      <c r="P106" s="181" t="n"/>
      <c r="Q106" s="181" t="n"/>
      <c r="R106" s="181" t="n"/>
      <c r="S106" s="181" t="n"/>
      <c r="T106" s="181" t="n"/>
      <c r="U106" s="181" t="n"/>
      <c r="V106" s="181" t="n"/>
      <c r="W106" s="181" t="n"/>
      <c r="X106" s="181" t="n"/>
      <c r="Y106" s="181" t="n"/>
      <c r="Z106" s="181" t="n"/>
      <c r="AA106" s="181" t="n"/>
      <c r="AB106" s="181" t="n"/>
    </row>
    <row r="107">
      <c r="A107" s="181" t="n"/>
      <c r="B107" s="181" t="n"/>
      <c r="C107" s="181" t="n"/>
      <c r="D107" s="181" t="n"/>
      <c r="E107" s="181" t="n"/>
      <c r="F107" s="208" t="n">
        <v>101</v>
      </c>
      <c r="G107" s="209">
        <f>$C$39</f>
        <v/>
      </c>
      <c r="H107" s="209">
        <f>(J106*$C$16)/12</f>
        <v/>
      </c>
      <c r="I107" s="209">
        <f>G107-H107</f>
        <v/>
      </c>
      <c r="J107" s="209">
        <f>J106-I107</f>
        <v/>
      </c>
      <c r="K107" s="181" t="n"/>
      <c r="L107" s="181" t="n"/>
      <c r="M107" s="181" t="n"/>
      <c r="N107" s="181" t="n"/>
      <c r="O107" s="181" t="n"/>
      <c r="P107" s="181" t="n"/>
      <c r="Q107" s="181" t="n"/>
      <c r="R107" s="181" t="n"/>
      <c r="S107" s="181" t="n"/>
      <c r="T107" s="181" t="n"/>
      <c r="U107" s="181" t="n"/>
      <c r="V107" s="181" t="n"/>
      <c r="W107" s="181" t="n"/>
      <c r="X107" s="181" t="n"/>
      <c r="Y107" s="181" t="n"/>
      <c r="Z107" s="181" t="n"/>
      <c r="AA107" s="181" t="n"/>
      <c r="AB107" s="181" t="n"/>
    </row>
    <row r="108">
      <c r="A108" s="181" t="n"/>
      <c r="B108" s="181" t="n"/>
      <c r="C108" s="181" t="n"/>
      <c r="D108" s="181" t="n"/>
      <c r="E108" s="181" t="n"/>
      <c r="F108" s="208" t="n">
        <v>102</v>
      </c>
      <c r="G108" s="209">
        <f>$C$39</f>
        <v/>
      </c>
      <c r="H108" s="209">
        <f>(J107*$C$16)/12</f>
        <v/>
      </c>
      <c r="I108" s="209">
        <f>G108-H108</f>
        <v/>
      </c>
      <c r="J108" s="209">
        <f>J107-I108</f>
        <v/>
      </c>
      <c r="K108" s="181" t="n"/>
      <c r="L108" s="181" t="n"/>
      <c r="M108" s="181" t="n"/>
      <c r="N108" s="181" t="n"/>
      <c r="O108" s="181" t="n"/>
      <c r="P108" s="181" t="n"/>
      <c r="Q108" s="181" t="n"/>
      <c r="R108" s="181" t="n"/>
      <c r="S108" s="181" t="n"/>
      <c r="T108" s="181" t="n"/>
      <c r="U108" s="181" t="n"/>
      <c r="V108" s="181" t="n"/>
      <c r="W108" s="181" t="n"/>
      <c r="X108" s="181" t="n"/>
      <c r="Y108" s="181" t="n"/>
      <c r="Z108" s="181" t="n"/>
      <c r="AA108" s="181" t="n"/>
      <c r="AB108" s="181" t="n"/>
    </row>
    <row r="109">
      <c r="A109" s="181" t="n"/>
      <c r="B109" s="181" t="n"/>
      <c r="C109" s="181" t="n"/>
      <c r="D109" s="181" t="n"/>
      <c r="E109" s="181" t="n"/>
      <c r="F109" s="208" t="n">
        <v>103</v>
      </c>
      <c r="G109" s="209">
        <f>$C$39</f>
        <v/>
      </c>
      <c r="H109" s="209">
        <f>(J108*$C$16)/12</f>
        <v/>
      </c>
      <c r="I109" s="209">
        <f>G109-H109</f>
        <v/>
      </c>
      <c r="J109" s="209">
        <f>J108-I109</f>
        <v/>
      </c>
      <c r="K109" s="181" t="n"/>
      <c r="L109" s="181" t="n"/>
      <c r="M109" s="181" t="n"/>
      <c r="N109" s="181" t="n"/>
      <c r="O109" s="181" t="n"/>
      <c r="P109" s="181" t="n"/>
      <c r="Q109" s="181" t="n"/>
      <c r="R109" s="181" t="n"/>
      <c r="S109" s="181" t="n"/>
      <c r="T109" s="181" t="n"/>
      <c r="U109" s="181" t="n"/>
      <c r="V109" s="181" t="n"/>
      <c r="W109" s="181" t="n"/>
      <c r="X109" s="181" t="n"/>
      <c r="Y109" s="181" t="n"/>
      <c r="Z109" s="181" t="n"/>
      <c r="AA109" s="181" t="n"/>
      <c r="AB109" s="181" t="n"/>
    </row>
    <row r="110">
      <c r="A110" s="181" t="n"/>
      <c r="B110" s="181" t="n"/>
      <c r="C110" s="181" t="n"/>
      <c r="D110" s="181" t="n"/>
      <c r="E110" s="181" t="n"/>
      <c r="F110" s="208" t="n">
        <v>104</v>
      </c>
      <c r="G110" s="209">
        <f>$C$39</f>
        <v/>
      </c>
      <c r="H110" s="209">
        <f>(J109*$C$16)/12</f>
        <v/>
      </c>
      <c r="I110" s="209">
        <f>G110-H110</f>
        <v/>
      </c>
      <c r="J110" s="209">
        <f>J109-I110</f>
        <v/>
      </c>
      <c r="K110" s="181" t="n"/>
      <c r="L110" s="181" t="n"/>
      <c r="M110" s="181" t="n"/>
      <c r="N110" s="181" t="n"/>
      <c r="O110" s="181" t="n"/>
      <c r="P110" s="181" t="n"/>
      <c r="Q110" s="181" t="n"/>
      <c r="R110" s="181" t="n"/>
      <c r="S110" s="181" t="n"/>
      <c r="T110" s="181" t="n"/>
      <c r="U110" s="181" t="n"/>
      <c r="V110" s="181" t="n"/>
      <c r="W110" s="181" t="n"/>
      <c r="X110" s="181" t="n"/>
      <c r="Y110" s="181" t="n"/>
      <c r="Z110" s="181" t="n"/>
      <c r="AA110" s="181" t="n"/>
      <c r="AB110" s="181" t="n"/>
    </row>
    <row r="111">
      <c r="A111" s="181" t="n"/>
      <c r="B111" s="181" t="n"/>
      <c r="C111" s="181" t="n"/>
      <c r="D111" s="181" t="n"/>
      <c r="E111" s="181" t="n"/>
      <c r="F111" s="208" t="n">
        <v>105</v>
      </c>
      <c r="G111" s="209">
        <f>$C$39</f>
        <v/>
      </c>
      <c r="H111" s="209">
        <f>(J110*$C$16)/12</f>
        <v/>
      </c>
      <c r="I111" s="209">
        <f>G111-H111</f>
        <v/>
      </c>
      <c r="J111" s="209">
        <f>J110-I111</f>
        <v/>
      </c>
      <c r="K111" s="181" t="n"/>
      <c r="L111" s="181" t="n"/>
      <c r="M111" s="181" t="n"/>
      <c r="N111" s="181" t="n"/>
      <c r="O111" s="181" t="n"/>
      <c r="P111" s="181" t="n"/>
      <c r="Q111" s="181" t="n"/>
      <c r="R111" s="181" t="n"/>
      <c r="S111" s="181" t="n"/>
      <c r="T111" s="181" t="n"/>
      <c r="U111" s="181" t="n"/>
      <c r="V111" s="181" t="n"/>
      <c r="W111" s="181" t="n"/>
      <c r="X111" s="181" t="n"/>
      <c r="Y111" s="181" t="n"/>
      <c r="Z111" s="181" t="n"/>
      <c r="AA111" s="181" t="n"/>
      <c r="AB111" s="181" t="n"/>
    </row>
    <row r="112">
      <c r="A112" s="181" t="n"/>
      <c r="B112" s="181" t="n"/>
      <c r="C112" s="181" t="n"/>
      <c r="D112" s="181" t="n"/>
      <c r="E112" s="181" t="n"/>
      <c r="F112" s="208" t="n">
        <v>106</v>
      </c>
      <c r="G112" s="209">
        <f>$C$39</f>
        <v/>
      </c>
      <c r="H112" s="209">
        <f>(J111*$C$16)/12</f>
        <v/>
      </c>
      <c r="I112" s="209">
        <f>G112-H112</f>
        <v/>
      </c>
      <c r="J112" s="209">
        <f>J111-I112</f>
        <v/>
      </c>
      <c r="K112" s="181" t="n"/>
      <c r="L112" s="181" t="n"/>
      <c r="M112" s="181" t="n"/>
      <c r="N112" s="181" t="n"/>
      <c r="O112" s="181" t="n"/>
      <c r="P112" s="181" t="n"/>
      <c r="Q112" s="181" t="n"/>
      <c r="R112" s="181" t="n"/>
      <c r="S112" s="181" t="n"/>
      <c r="T112" s="181" t="n"/>
      <c r="U112" s="181" t="n"/>
      <c r="V112" s="181" t="n"/>
      <c r="W112" s="181" t="n"/>
      <c r="X112" s="181" t="n"/>
      <c r="Y112" s="181" t="n"/>
      <c r="Z112" s="181" t="n"/>
      <c r="AA112" s="181" t="n"/>
      <c r="AB112" s="181" t="n"/>
    </row>
    <row r="113">
      <c r="A113" s="181" t="n"/>
      <c r="B113" s="181" t="n"/>
      <c r="C113" s="181" t="n"/>
      <c r="D113" s="181" t="n"/>
      <c r="E113" s="181" t="n"/>
      <c r="F113" s="208" t="n">
        <v>107</v>
      </c>
      <c r="G113" s="209">
        <f>$C$39</f>
        <v/>
      </c>
      <c r="H113" s="209">
        <f>(J112*$C$16)/12</f>
        <v/>
      </c>
      <c r="I113" s="209">
        <f>G113-H113</f>
        <v/>
      </c>
      <c r="J113" s="209">
        <f>J112-I113</f>
        <v/>
      </c>
      <c r="K113" s="181" t="n"/>
      <c r="L113" s="181" t="n"/>
      <c r="M113" s="181" t="n"/>
      <c r="N113" s="181" t="n"/>
      <c r="O113" s="181" t="n"/>
      <c r="P113" s="181" t="n"/>
      <c r="Q113" s="181" t="n"/>
      <c r="R113" s="181" t="n"/>
      <c r="S113" s="181" t="n"/>
      <c r="T113" s="181" t="n"/>
      <c r="U113" s="181" t="n"/>
      <c r="V113" s="181" t="n"/>
      <c r="W113" s="181" t="n"/>
      <c r="X113" s="181" t="n"/>
      <c r="Y113" s="181" t="n"/>
      <c r="Z113" s="181" t="n"/>
      <c r="AA113" s="181" t="n"/>
      <c r="AB113" s="181" t="n"/>
    </row>
    <row r="114">
      <c r="A114" s="181" t="n"/>
      <c r="B114" s="181" t="n"/>
      <c r="C114" s="181" t="n"/>
      <c r="D114" s="181" t="n"/>
      <c r="E114" s="181" t="n"/>
      <c r="F114" s="491" t="n">
        <v>108</v>
      </c>
      <c r="G114" s="492">
        <f>$C$39</f>
        <v/>
      </c>
      <c r="H114" s="492">
        <f>(J113*$C$16)/12</f>
        <v/>
      </c>
      <c r="I114" s="492">
        <f>G114-H114</f>
        <v/>
      </c>
      <c r="J114" s="492">
        <f>J113-I114</f>
        <v/>
      </c>
      <c r="K114" s="181" t="n"/>
      <c r="L114" s="181" t="n"/>
      <c r="M114" s="181" t="n"/>
      <c r="N114" s="181" t="n"/>
      <c r="O114" s="181" t="n"/>
      <c r="P114" s="181" t="n"/>
      <c r="Q114" s="181" t="n"/>
      <c r="R114" s="181" t="n"/>
      <c r="S114" s="181" t="n"/>
      <c r="T114" s="181" t="n"/>
      <c r="U114" s="181" t="n"/>
      <c r="V114" s="181" t="n"/>
      <c r="W114" s="181" t="n"/>
      <c r="X114" s="181" t="n"/>
      <c r="Y114" s="181" t="n"/>
      <c r="Z114" s="181" t="n"/>
      <c r="AA114" s="181" t="n"/>
      <c r="AB114" s="181" t="n"/>
    </row>
    <row r="115">
      <c r="A115" s="181" t="n"/>
      <c r="B115" s="181" t="n"/>
      <c r="C115" s="181" t="n"/>
      <c r="D115" s="181" t="n"/>
      <c r="E115" s="181" t="n"/>
      <c r="F115" s="208" t="n">
        <v>109</v>
      </c>
      <c r="G115" s="209">
        <f>$C$39</f>
        <v/>
      </c>
      <c r="H115" s="209">
        <f>(J114*$C$16)/12</f>
        <v/>
      </c>
      <c r="I115" s="209">
        <f>G115-H115</f>
        <v/>
      </c>
      <c r="J115" s="209">
        <f>J114-I115</f>
        <v/>
      </c>
      <c r="K115" s="181" t="n"/>
      <c r="L115" s="181" t="n"/>
      <c r="M115" s="181" t="n"/>
      <c r="N115" s="181" t="n"/>
      <c r="O115" s="181" t="n"/>
      <c r="P115" s="181" t="n"/>
      <c r="Q115" s="181" t="n"/>
      <c r="R115" s="181" t="n"/>
      <c r="S115" s="181" t="n"/>
      <c r="T115" s="181" t="n"/>
      <c r="U115" s="181" t="n"/>
      <c r="V115" s="181" t="n"/>
      <c r="W115" s="181" t="n"/>
      <c r="X115" s="181" t="n"/>
      <c r="Y115" s="181" t="n"/>
      <c r="Z115" s="181" t="n"/>
      <c r="AA115" s="181" t="n"/>
      <c r="AB115" s="181" t="n"/>
    </row>
    <row r="116">
      <c r="A116" s="181" t="n"/>
      <c r="B116" s="181" t="n"/>
      <c r="C116" s="181" t="n"/>
      <c r="D116" s="181" t="n"/>
      <c r="E116" s="181" t="n"/>
      <c r="F116" s="208" t="n">
        <v>110</v>
      </c>
      <c r="G116" s="209">
        <f>$C$39</f>
        <v/>
      </c>
      <c r="H116" s="209">
        <f>(J115*$C$16)/12</f>
        <v/>
      </c>
      <c r="I116" s="209">
        <f>G116-H116</f>
        <v/>
      </c>
      <c r="J116" s="209">
        <f>J115-I116</f>
        <v/>
      </c>
      <c r="K116" s="181" t="n"/>
      <c r="L116" s="181" t="n"/>
      <c r="M116" s="181" t="n"/>
      <c r="N116" s="181" t="n"/>
      <c r="O116" s="181" t="n"/>
      <c r="P116" s="181" t="n"/>
      <c r="Q116" s="181" t="n"/>
      <c r="R116" s="181" t="n"/>
      <c r="S116" s="181" t="n"/>
      <c r="T116" s="181" t="n"/>
      <c r="U116" s="181" t="n"/>
      <c r="V116" s="181" t="n"/>
      <c r="W116" s="181" t="n"/>
      <c r="X116" s="181" t="n"/>
      <c r="Y116" s="181" t="n"/>
      <c r="Z116" s="181" t="n"/>
      <c r="AA116" s="181" t="n"/>
      <c r="AB116" s="181" t="n"/>
    </row>
    <row r="117">
      <c r="A117" s="181" t="n"/>
      <c r="B117" s="181" t="n"/>
      <c r="C117" s="181" t="n"/>
      <c r="D117" s="181" t="n"/>
      <c r="E117" s="181" t="n"/>
      <c r="F117" s="208" t="n">
        <v>111</v>
      </c>
      <c r="G117" s="209">
        <f>$C$39</f>
        <v/>
      </c>
      <c r="H117" s="209">
        <f>(J116*$C$16)/12</f>
        <v/>
      </c>
      <c r="I117" s="209">
        <f>G117-H117</f>
        <v/>
      </c>
      <c r="J117" s="209">
        <f>J116-I117</f>
        <v/>
      </c>
      <c r="K117" s="181" t="n"/>
      <c r="L117" s="181" t="n"/>
      <c r="M117" s="181" t="n"/>
      <c r="N117" s="181" t="n"/>
      <c r="O117" s="181" t="n"/>
      <c r="P117" s="181" t="n"/>
      <c r="Q117" s="181" t="n"/>
      <c r="R117" s="181" t="n"/>
      <c r="S117" s="181" t="n"/>
      <c r="T117" s="181" t="n"/>
      <c r="U117" s="181" t="n"/>
      <c r="V117" s="181" t="n"/>
      <c r="W117" s="181" t="n"/>
      <c r="X117" s="181" t="n"/>
      <c r="Y117" s="181" t="n"/>
      <c r="Z117" s="181" t="n"/>
      <c r="AA117" s="181" t="n"/>
      <c r="AB117" s="181" t="n"/>
    </row>
    <row r="118">
      <c r="A118" s="181" t="n"/>
      <c r="B118" s="181" t="n"/>
      <c r="C118" s="181" t="n"/>
      <c r="D118" s="181" t="n"/>
      <c r="E118" s="181" t="n"/>
      <c r="F118" s="208" t="n">
        <v>112</v>
      </c>
      <c r="G118" s="209">
        <f>$C$39</f>
        <v/>
      </c>
      <c r="H118" s="209">
        <f>(J117*$C$16)/12</f>
        <v/>
      </c>
      <c r="I118" s="209">
        <f>G118-H118</f>
        <v/>
      </c>
      <c r="J118" s="209">
        <f>J117-I118</f>
        <v/>
      </c>
      <c r="K118" s="181" t="n"/>
      <c r="L118" s="181" t="n"/>
      <c r="M118" s="181" t="n"/>
      <c r="N118" s="181" t="n"/>
      <c r="O118" s="181" t="n"/>
      <c r="P118" s="181" t="n"/>
      <c r="Q118" s="181" t="n"/>
      <c r="R118" s="181" t="n"/>
      <c r="S118" s="181" t="n"/>
      <c r="T118" s="181" t="n"/>
      <c r="U118" s="181" t="n"/>
      <c r="V118" s="181" t="n"/>
      <c r="W118" s="181" t="n"/>
      <c r="X118" s="181" t="n"/>
      <c r="Y118" s="181" t="n"/>
      <c r="Z118" s="181" t="n"/>
      <c r="AA118" s="181" t="n"/>
      <c r="AB118" s="181" t="n"/>
    </row>
    <row r="119">
      <c r="A119" s="181" t="n"/>
      <c r="B119" s="181" t="n"/>
      <c r="C119" s="181" t="n"/>
      <c r="D119" s="181" t="n"/>
      <c r="E119" s="181" t="n"/>
      <c r="F119" s="208" t="n">
        <v>113</v>
      </c>
      <c r="G119" s="209">
        <f>$C$39</f>
        <v/>
      </c>
      <c r="H119" s="209">
        <f>(J118*$C$16)/12</f>
        <v/>
      </c>
      <c r="I119" s="209">
        <f>G119-H119</f>
        <v/>
      </c>
      <c r="J119" s="209">
        <f>J118-I119</f>
        <v/>
      </c>
      <c r="K119" s="181" t="n"/>
      <c r="L119" s="181" t="n"/>
      <c r="M119" s="181" t="n"/>
      <c r="N119" s="181" t="n"/>
      <c r="O119" s="181" t="n"/>
      <c r="P119" s="181" t="n"/>
      <c r="Q119" s="181" t="n"/>
      <c r="R119" s="181" t="n"/>
      <c r="S119" s="181" t="n"/>
      <c r="T119" s="181" t="n"/>
      <c r="U119" s="181" t="n"/>
      <c r="V119" s="181" t="n"/>
      <c r="W119" s="181" t="n"/>
      <c r="X119" s="181" t="n"/>
      <c r="Y119" s="181" t="n"/>
      <c r="Z119" s="181" t="n"/>
      <c r="AA119" s="181" t="n"/>
      <c r="AB119" s="181" t="n"/>
    </row>
    <row r="120">
      <c r="A120" s="181" t="n"/>
      <c r="B120" s="181" t="n"/>
      <c r="C120" s="181" t="n"/>
      <c r="D120" s="181" t="n"/>
      <c r="E120" s="181" t="n"/>
      <c r="F120" s="208" t="n">
        <v>114</v>
      </c>
      <c r="G120" s="209">
        <f>$C$39</f>
        <v/>
      </c>
      <c r="H120" s="209">
        <f>(J119*$C$16)/12</f>
        <v/>
      </c>
      <c r="I120" s="209">
        <f>G120-H120</f>
        <v/>
      </c>
      <c r="J120" s="209">
        <f>J119-I120</f>
        <v/>
      </c>
      <c r="K120" s="181" t="n"/>
      <c r="L120" s="181" t="n"/>
      <c r="M120" s="181" t="n"/>
      <c r="N120" s="181" t="n"/>
      <c r="O120" s="181" t="n"/>
      <c r="P120" s="181" t="n"/>
      <c r="Q120" s="181" t="n"/>
      <c r="R120" s="181" t="n"/>
      <c r="S120" s="181" t="n"/>
      <c r="T120" s="181" t="n"/>
      <c r="U120" s="181" t="n"/>
      <c r="V120" s="181" t="n"/>
      <c r="W120" s="181" t="n"/>
      <c r="X120" s="181" t="n"/>
      <c r="Y120" s="181" t="n"/>
      <c r="Z120" s="181" t="n"/>
      <c r="AA120" s="181" t="n"/>
      <c r="AB120" s="181" t="n"/>
    </row>
    <row r="121">
      <c r="A121" s="181" t="n"/>
      <c r="B121" s="181" t="n"/>
      <c r="C121" s="181" t="n"/>
      <c r="D121" s="181" t="n"/>
      <c r="E121" s="181" t="n"/>
      <c r="F121" s="208" t="n">
        <v>115</v>
      </c>
      <c r="G121" s="209">
        <f>$C$39</f>
        <v/>
      </c>
      <c r="H121" s="209">
        <f>(J120*$C$16)/12</f>
        <v/>
      </c>
      <c r="I121" s="209">
        <f>G121-H121</f>
        <v/>
      </c>
      <c r="J121" s="209">
        <f>J120-I121</f>
        <v/>
      </c>
      <c r="K121" s="181" t="n"/>
      <c r="L121" s="181" t="n"/>
      <c r="M121" s="181" t="n"/>
      <c r="N121" s="181" t="n"/>
      <c r="O121" s="181" t="n"/>
      <c r="P121" s="181" t="n"/>
      <c r="Q121" s="181" t="n"/>
      <c r="R121" s="181" t="n"/>
      <c r="S121" s="181" t="n"/>
      <c r="T121" s="181" t="n"/>
      <c r="U121" s="181" t="n"/>
      <c r="V121" s="181" t="n"/>
      <c r="W121" s="181" t="n"/>
      <c r="X121" s="181" t="n"/>
      <c r="Y121" s="181" t="n"/>
      <c r="Z121" s="181" t="n"/>
      <c r="AA121" s="181" t="n"/>
      <c r="AB121" s="181" t="n"/>
    </row>
    <row r="122">
      <c r="A122" s="181" t="n"/>
      <c r="B122" s="181" t="n"/>
      <c r="C122" s="181" t="n"/>
      <c r="D122" s="181" t="n"/>
      <c r="E122" s="181" t="n"/>
      <c r="F122" s="208" t="n">
        <v>116</v>
      </c>
      <c r="G122" s="209">
        <f>$C$39</f>
        <v/>
      </c>
      <c r="H122" s="209">
        <f>(J121*$C$16)/12</f>
        <v/>
      </c>
      <c r="I122" s="209">
        <f>G122-H122</f>
        <v/>
      </c>
      <c r="J122" s="209">
        <f>J121-I122</f>
        <v/>
      </c>
      <c r="K122" s="181" t="n"/>
      <c r="L122" s="181" t="n"/>
      <c r="M122" s="181" t="n"/>
      <c r="N122" s="181" t="n"/>
      <c r="O122" s="181" t="n"/>
      <c r="P122" s="181" t="n"/>
      <c r="Q122" s="181" t="n"/>
      <c r="R122" s="181" t="n"/>
      <c r="S122" s="181" t="n"/>
      <c r="T122" s="181" t="n"/>
      <c r="U122" s="181" t="n"/>
      <c r="V122" s="181" t="n"/>
      <c r="W122" s="181" t="n"/>
      <c r="X122" s="181" t="n"/>
      <c r="Y122" s="181" t="n"/>
      <c r="Z122" s="181" t="n"/>
      <c r="AA122" s="181" t="n"/>
      <c r="AB122" s="181" t="n"/>
    </row>
    <row r="123">
      <c r="A123" s="181" t="n"/>
      <c r="B123" s="181" t="n"/>
      <c r="C123" s="181" t="n"/>
      <c r="D123" s="181" t="n"/>
      <c r="E123" s="181" t="n"/>
      <c r="F123" s="208" t="n">
        <v>117</v>
      </c>
      <c r="G123" s="209">
        <f>$C$39</f>
        <v/>
      </c>
      <c r="H123" s="209">
        <f>(J122*$C$16)/12</f>
        <v/>
      </c>
      <c r="I123" s="209">
        <f>G123-H123</f>
        <v/>
      </c>
      <c r="J123" s="209">
        <f>J122-I123</f>
        <v/>
      </c>
      <c r="K123" s="181" t="n"/>
      <c r="L123" s="181" t="n"/>
      <c r="M123" s="181" t="n"/>
      <c r="N123" s="181" t="n"/>
      <c r="O123" s="181" t="n"/>
      <c r="P123" s="181" t="n"/>
      <c r="Q123" s="181" t="n"/>
      <c r="R123" s="181" t="n"/>
      <c r="S123" s="181" t="n"/>
      <c r="T123" s="181" t="n"/>
      <c r="U123" s="181" t="n"/>
      <c r="V123" s="181" t="n"/>
      <c r="W123" s="181" t="n"/>
      <c r="X123" s="181" t="n"/>
      <c r="Y123" s="181" t="n"/>
      <c r="Z123" s="181" t="n"/>
      <c r="AA123" s="181" t="n"/>
      <c r="AB123" s="181" t="n"/>
    </row>
    <row r="124">
      <c r="A124" s="181" t="n"/>
      <c r="B124" s="181" t="n"/>
      <c r="C124" s="181" t="n"/>
      <c r="D124" s="181" t="n"/>
      <c r="E124" s="181" t="n"/>
      <c r="F124" s="208" t="n">
        <v>118</v>
      </c>
      <c r="G124" s="209">
        <f>$C$39</f>
        <v/>
      </c>
      <c r="H124" s="209">
        <f>(J123*$C$16)/12</f>
        <v/>
      </c>
      <c r="I124" s="209">
        <f>G124-H124</f>
        <v/>
      </c>
      <c r="J124" s="209">
        <f>J123-I124</f>
        <v/>
      </c>
      <c r="K124" s="181" t="n"/>
      <c r="L124" s="181" t="n"/>
      <c r="M124" s="181" t="n"/>
      <c r="N124" s="181" t="n"/>
      <c r="O124" s="181" t="n"/>
      <c r="P124" s="181" t="n"/>
      <c r="Q124" s="181" t="n"/>
      <c r="R124" s="181" t="n"/>
      <c r="S124" s="181" t="n"/>
      <c r="T124" s="181" t="n"/>
      <c r="U124" s="181" t="n"/>
      <c r="V124" s="181" t="n"/>
      <c r="W124" s="181" t="n"/>
      <c r="X124" s="181" t="n"/>
      <c r="Y124" s="181" t="n"/>
      <c r="Z124" s="181" t="n"/>
      <c r="AA124" s="181" t="n"/>
      <c r="AB124" s="181" t="n"/>
    </row>
    <row r="125">
      <c r="A125" s="181" t="n"/>
      <c r="B125" s="181" t="n"/>
      <c r="C125" s="181" t="n"/>
      <c r="D125" s="181" t="n"/>
      <c r="E125" s="181" t="n"/>
      <c r="F125" s="208" t="n">
        <v>119</v>
      </c>
      <c r="G125" s="209">
        <f>$C$39</f>
        <v/>
      </c>
      <c r="H125" s="209">
        <f>(J124*$C$16)/12</f>
        <v/>
      </c>
      <c r="I125" s="209">
        <f>G125-H125</f>
        <v/>
      </c>
      <c r="J125" s="209">
        <f>J124-I125</f>
        <v/>
      </c>
      <c r="K125" s="181" t="n"/>
      <c r="L125" s="181" t="n"/>
      <c r="M125" s="181" t="n"/>
      <c r="N125" s="181" t="n"/>
      <c r="O125" s="181" t="n"/>
      <c r="P125" s="181" t="n"/>
      <c r="Q125" s="181" t="n"/>
      <c r="R125" s="181" t="n"/>
      <c r="S125" s="181" t="n"/>
      <c r="T125" s="181" t="n"/>
      <c r="U125" s="181" t="n"/>
      <c r="V125" s="181" t="n"/>
      <c r="W125" s="181" t="n"/>
      <c r="X125" s="181" t="n"/>
      <c r="Y125" s="181" t="n"/>
      <c r="Z125" s="181" t="n"/>
      <c r="AA125" s="181" t="n"/>
      <c r="AB125" s="181" t="n"/>
    </row>
    <row r="126">
      <c r="A126" s="181" t="n"/>
      <c r="B126" s="181" t="n"/>
      <c r="C126" s="181" t="n"/>
      <c r="D126" s="181" t="n"/>
      <c r="E126" s="181" t="n"/>
      <c r="F126" s="208" t="n">
        <v>120</v>
      </c>
      <c r="G126" s="209">
        <f>$C$39</f>
        <v/>
      </c>
      <c r="H126" s="209">
        <f>(J125*$C$16)/12</f>
        <v/>
      </c>
      <c r="I126" s="209">
        <f>G126-H126</f>
        <v/>
      </c>
      <c r="J126" s="209">
        <f>J125-I126</f>
        <v/>
      </c>
      <c r="K126" s="181" t="n"/>
      <c r="L126" s="181" t="n"/>
      <c r="M126" s="181" t="n"/>
      <c r="N126" s="181" t="n"/>
      <c r="O126" s="181" t="n"/>
      <c r="P126" s="181" t="n"/>
      <c r="Q126" s="181" t="n"/>
      <c r="R126" s="181" t="n"/>
      <c r="S126" s="181" t="n"/>
      <c r="T126" s="181" t="n"/>
      <c r="U126" s="181" t="n"/>
      <c r="V126" s="181" t="n"/>
      <c r="W126" s="181" t="n"/>
      <c r="X126" s="181" t="n"/>
      <c r="Y126" s="181" t="n"/>
      <c r="Z126" s="181" t="n"/>
      <c r="AA126" s="181" t="n"/>
      <c r="AB126" s="181" t="n"/>
    </row>
    <row r="127">
      <c r="A127" s="181" t="n"/>
      <c r="B127" s="181" t="n"/>
      <c r="C127" s="181" t="n"/>
      <c r="D127" s="181" t="n"/>
      <c r="E127" s="181" t="n"/>
      <c r="F127" s="203" t="n"/>
      <c r="G127" s="203" t="n"/>
      <c r="H127" s="203" t="n"/>
      <c r="I127" s="203" t="n"/>
      <c r="J127" s="203" t="n"/>
      <c r="K127" s="181" t="n"/>
      <c r="L127" s="181" t="n"/>
      <c r="M127" s="181" t="n"/>
      <c r="N127" s="181" t="n"/>
      <c r="O127" s="181" t="n"/>
      <c r="P127" s="181" t="n"/>
      <c r="Q127" s="181" t="n"/>
      <c r="R127" s="181" t="n"/>
      <c r="S127" s="181" t="n"/>
      <c r="T127" s="181" t="n"/>
      <c r="U127" s="181" t="n"/>
      <c r="V127" s="181" t="n"/>
      <c r="W127" s="181" t="n"/>
      <c r="X127" s="181" t="n"/>
      <c r="Y127" s="181" t="n"/>
      <c r="Z127" s="181" t="n"/>
      <c r="AA127" s="181" t="n"/>
      <c r="AB127" s="181" t="n"/>
    </row>
    <row r="128">
      <c r="A128" s="181" t="n"/>
      <c r="B128" s="181" t="n"/>
      <c r="C128" s="181" t="n"/>
      <c r="D128" s="181" t="n"/>
      <c r="E128" s="181" t="n"/>
      <c r="F128" s="203" t="n"/>
      <c r="G128" s="203" t="n"/>
      <c r="H128" s="203" t="n"/>
      <c r="I128" s="203" t="n"/>
      <c r="J128" s="203" t="n"/>
      <c r="K128" s="181" t="n"/>
      <c r="L128" s="181" t="n"/>
      <c r="M128" s="181" t="n"/>
      <c r="N128" s="181" t="n"/>
      <c r="O128" s="181" t="n"/>
      <c r="P128" s="181" t="n"/>
      <c r="Q128" s="181" t="n"/>
      <c r="R128" s="181" t="n"/>
      <c r="S128" s="181" t="n"/>
      <c r="T128" s="181" t="n"/>
      <c r="U128" s="181" t="n"/>
      <c r="V128" s="181" t="n"/>
      <c r="W128" s="181" t="n"/>
      <c r="X128" s="181" t="n"/>
      <c r="Y128" s="181" t="n"/>
      <c r="Z128" s="181" t="n"/>
      <c r="AA128" s="181" t="n"/>
      <c r="AB128" s="181" t="n"/>
    </row>
    <row r="129">
      <c r="A129" s="181" t="n"/>
      <c r="B129" s="181" t="n"/>
      <c r="C129" s="181" t="n"/>
      <c r="D129" s="181" t="n"/>
      <c r="E129" s="181" t="n"/>
      <c r="F129" s="203" t="n"/>
      <c r="G129" s="203" t="n"/>
      <c r="H129" s="203" t="n"/>
      <c r="I129" s="203" t="n"/>
      <c r="J129" s="203" t="n"/>
      <c r="K129" s="181" t="n"/>
      <c r="L129" s="181" t="n"/>
      <c r="M129" s="181" t="n"/>
      <c r="N129" s="181" t="n"/>
      <c r="O129" s="181" t="n"/>
      <c r="P129" s="181" t="n"/>
      <c r="Q129" s="181" t="n"/>
      <c r="R129" s="181" t="n"/>
      <c r="S129" s="181" t="n"/>
      <c r="T129" s="181" t="n"/>
      <c r="U129" s="181" t="n"/>
      <c r="V129" s="181" t="n"/>
      <c r="W129" s="181" t="n"/>
      <c r="X129" s="181" t="n"/>
      <c r="Y129" s="181" t="n"/>
      <c r="Z129" s="181" t="n"/>
      <c r="AA129" s="181" t="n"/>
      <c r="AB129" s="181" t="n"/>
    </row>
    <row r="130">
      <c r="A130" s="181" t="n"/>
      <c r="B130" s="181" t="n"/>
      <c r="C130" s="181" t="n"/>
      <c r="D130" s="181" t="n"/>
      <c r="E130" s="181" t="n"/>
      <c r="F130" s="203" t="n"/>
      <c r="G130" s="203" t="n"/>
      <c r="H130" s="203" t="n"/>
      <c r="I130" s="203" t="n"/>
      <c r="J130" s="203" t="n"/>
      <c r="K130" s="181" t="n"/>
      <c r="L130" s="181" t="n"/>
      <c r="M130" s="181" t="n"/>
      <c r="N130" s="181" t="n"/>
      <c r="O130" s="181" t="n"/>
      <c r="P130" s="181" t="n"/>
      <c r="Q130" s="181" t="n"/>
      <c r="R130" s="181" t="n"/>
      <c r="S130" s="181" t="n"/>
      <c r="T130" s="181" t="n"/>
      <c r="U130" s="181" t="n"/>
      <c r="V130" s="181" t="n"/>
      <c r="W130" s="181" t="n"/>
      <c r="X130" s="181" t="n"/>
      <c r="Y130" s="181" t="n"/>
      <c r="Z130" s="181" t="n"/>
      <c r="AA130" s="181" t="n"/>
      <c r="AB130" s="181" t="n"/>
    </row>
    <row r="131">
      <c r="A131" s="181" t="n"/>
      <c r="B131" s="181" t="n"/>
      <c r="C131" s="181" t="n"/>
      <c r="D131" s="181" t="n"/>
      <c r="E131" s="181" t="n"/>
      <c r="F131" s="203" t="n"/>
      <c r="G131" s="203" t="n"/>
      <c r="H131" s="203" t="n"/>
      <c r="I131" s="203" t="n"/>
      <c r="J131" s="203" t="n"/>
      <c r="K131" s="181" t="n"/>
      <c r="L131" s="181" t="n"/>
      <c r="M131" s="181" t="n"/>
      <c r="N131" s="181" t="n"/>
      <c r="O131" s="181" t="n"/>
      <c r="P131" s="181" t="n"/>
      <c r="Q131" s="181" t="n"/>
      <c r="R131" s="181" t="n"/>
      <c r="S131" s="181" t="n"/>
      <c r="T131" s="181" t="n"/>
      <c r="U131" s="181" t="n"/>
      <c r="V131" s="181" t="n"/>
      <c r="W131" s="181" t="n"/>
      <c r="X131" s="181" t="n"/>
      <c r="Y131" s="181" t="n"/>
      <c r="Z131" s="181" t="n"/>
      <c r="AA131" s="181" t="n"/>
      <c r="AB131" s="181" t="n"/>
    </row>
    <row r="132">
      <c r="A132" s="181" t="n"/>
      <c r="B132" s="181" t="n"/>
      <c r="C132" s="181" t="n"/>
      <c r="D132" s="181" t="n"/>
      <c r="E132" s="181" t="n"/>
      <c r="F132" s="203" t="n"/>
      <c r="G132" s="203" t="n"/>
      <c r="H132" s="203" t="n"/>
      <c r="I132" s="203" t="n"/>
      <c r="J132" s="203" t="n"/>
      <c r="K132" s="181" t="n"/>
      <c r="L132" s="181" t="n"/>
      <c r="M132" s="181" t="n"/>
      <c r="N132" s="181" t="n"/>
      <c r="O132" s="181" t="n"/>
      <c r="P132" s="181" t="n"/>
      <c r="Q132" s="181" t="n"/>
      <c r="R132" s="181" t="n"/>
      <c r="S132" s="181" t="n"/>
      <c r="T132" s="181" t="n"/>
      <c r="U132" s="181" t="n"/>
      <c r="V132" s="181" t="n"/>
      <c r="W132" s="181" t="n"/>
      <c r="X132" s="181" t="n"/>
      <c r="Y132" s="181" t="n"/>
      <c r="Z132" s="181" t="n"/>
      <c r="AA132" s="181" t="n"/>
      <c r="AB132" s="181" t="n"/>
    </row>
    <row r="133">
      <c r="A133" s="181" t="n"/>
      <c r="B133" s="181" t="n"/>
      <c r="C133" s="181" t="n"/>
      <c r="D133" s="181" t="n"/>
      <c r="E133" s="181" t="n"/>
      <c r="F133" s="203" t="n"/>
      <c r="G133" s="203" t="n"/>
      <c r="H133" s="203" t="n"/>
      <c r="I133" s="203" t="n"/>
      <c r="J133" s="203" t="n"/>
      <c r="K133" s="181" t="n"/>
      <c r="L133" s="181" t="n"/>
      <c r="M133" s="181" t="n"/>
      <c r="N133" s="181" t="n"/>
      <c r="O133" s="181" t="n"/>
      <c r="P133" s="181" t="n"/>
      <c r="Q133" s="181" t="n"/>
      <c r="R133" s="181" t="n"/>
      <c r="S133" s="181" t="n"/>
      <c r="T133" s="181" t="n"/>
      <c r="U133" s="181" t="n"/>
      <c r="V133" s="181" t="n"/>
      <c r="W133" s="181" t="n"/>
      <c r="X133" s="181" t="n"/>
      <c r="Y133" s="181" t="n"/>
      <c r="Z133" s="181" t="n"/>
      <c r="AA133" s="181" t="n"/>
      <c r="AB133" s="181" t="n"/>
    </row>
    <row r="134">
      <c r="A134" s="181" t="n"/>
      <c r="B134" s="181" t="n"/>
      <c r="C134" s="181" t="n"/>
      <c r="D134" s="181" t="n"/>
      <c r="E134" s="181" t="n"/>
      <c r="F134" s="203" t="n"/>
      <c r="G134" s="203" t="n"/>
      <c r="H134" s="203" t="n"/>
      <c r="I134" s="203" t="n"/>
      <c r="J134" s="203" t="n"/>
      <c r="K134" s="181" t="n"/>
      <c r="L134" s="181" t="n"/>
      <c r="M134" s="181" t="n"/>
      <c r="N134" s="181" t="n"/>
      <c r="O134" s="181" t="n"/>
      <c r="P134" s="181" t="n"/>
      <c r="Q134" s="181" t="n"/>
      <c r="R134" s="181" t="n"/>
      <c r="S134" s="181" t="n"/>
      <c r="T134" s="181" t="n"/>
      <c r="U134" s="181" t="n"/>
      <c r="V134" s="181" t="n"/>
      <c r="W134" s="181" t="n"/>
      <c r="X134" s="181" t="n"/>
      <c r="Y134" s="181" t="n"/>
      <c r="Z134" s="181" t="n"/>
      <c r="AA134" s="181" t="n"/>
      <c r="AB134" s="181" t="n"/>
    </row>
    <row r="135">
      <c r="A135" s="181" t="n"/>
      <c r="B135" s="181" t="n"/>
      <c r="C135" s="181" t="n"/>
      <c r="D135" s="181" t="n"/>
      <c r="E135" s="181" t="n"/>
      <c r="F135" s="203" t="n"/>
      <c r="G135" s="203" t="n"/>
      <c r="H135" s="203" t="n"/>
      <c r="I135" s="203" t="n"/>
      <c r="J135" s="203" t="n"/>
      <c r="K135" s="181" t="n"/>
      <c r="L135" s="181" t="n"/>
      <c r="M135" s="181" t="n"/>
      <c r="N135" s="181" t="n"/>
      <c r="O135" s="181" t="n"/>
      <c r="P135" s="181" t="n"/>
      <c r="Q135" s="181" t="n"/>
      <c r="R135" s="181" t="n"/>
      <c r="S135" s="181" t="n"/>
      <c r="T135" s="181" t="n"/>
      <c r="U135" s="181" t="n"/>
      <c r="V135" s="181" t="n"/>
      <c r="W135" s="181" t="n"/>
      <c r="X135" s="181" t="n"/>
      <c r="Y135" s="181" t="n"/>
      <c r="Z135" s="181" t="n"/>
      <c r="AA135" s="181" t="n"/>
      <c r="AB135" s="181" t="n"/>
    </row>
    <row r="136">
      <c r="A136" s="181" t="n"/>
      <c r="B136" s="181" t="n"/>
      <c r="C136" s="181" t="n"/>
      <c r="D136" s="181" t="n"/>
      <c r="E136" s="181" t="n"/>
      <c r="F136" s="203" t="n"/>
      <c r="G136" s="203" t="n"/>
      <c r="H136" s="203" t="n"/>
      <c r="I136" s="203" t="n"/>
      <c r="J136" s="203" t="n"/>
      <c r="K136" s="181" t="n"/>
      <c r="L136" s="181" t="n"/>
      <c r="M136" s="181" t="n"/>
      <c r="N136" s="181" t="n"/>
      <c r="O136" s="181" t="n"/>
      <c r="P136" s="181" t="n"/>
      <c r="Q136" s="181" t="n"/>
      <c r="R136" s="181" t="n"/>
      <c r="S136" s="181" t="n"/>
      <c r="T136" s="181" t="n"/>
      <c r="U136" s="181" t="n"/>
      <c r="V136" s="181" t="n"/>
      <c r="W136" s="181" t="n"/>
      <c r="X136" s="181" t="n"/>
      <c r="Y136" s="181" t="n"/>
      <c r="Z136" s="181" t="n"/>
      <c r="AA136" s="181" t="n"/>
      <c r="AB136" s="181" t="n"/>
    </row>
    <row r="137">
      <c r="A137" s="181" t="n"/>
      <c r="B137" s="181" t="n"/>
      <c r="C137" s="181" t="n"/>
      <c r="D137" s="181" t="n"/>
      <c r="E137" s="181" t="n"/>
      <c r="F137" s="204" t="n"/>
      <c r="G137" s="204" t="n"/>
      <c r="H137" s="204" t="n"/>
      <c r="I137" s="204" t="n"/>
      <c r="J137" s="204" t="n"/>
      <c r="K137" s="181" t="n"/>
      <c r="L137" s="181" t="n"/>
      <c r="M137" s="181" t="n"/>
      <c r="N137" s="181" t="n"/>
      <c r="O137" s="181" t="n"/>
      <c r="P137" s="181" t="n"/>
      <c r="Q137" s="181" t="n"/>
      <c r="R137" s="181" t="n"/>
      <c r="S137" s="181" t="n"/>
      <c r="T137" s="181" t="n"/>
      <c r="U137" s="181" t="n"/>
      <c r="V137" s="181" t="n"/>
      <c r="W137" s="181" t="n"/>
      <c r="X137" s="181" t="n"/>
      <c r="Y137" s="181" t="n"/>
      <c r="Z137" s="181" t="n"/>
      <c r="AA137" s="181" t="n"/>
      <c r="AB137" s="181" t="n"/>
    </row>
    <row r="138">
      <c r="A138" s="181" t="n"/>
      <c r="B138" s="181" t="n"/>
      <c r="C138" s="181" t="n"/>
      <c r="D138" s="181" t="n"/>
      <c r="E138" s="181" t="n"/>
      <c r="F138" s="204" t="n"/>
      <c r="G138" s="204" t="n"/>
      <c r="H138" s="204" t="n"/>
      <c r="I138" s="204" t="n"/>
      <c r="J138" s="204" t="n"/>
      <c r="K138" s="181" t="n"/>
      <c r="L138" s="181" t="n"/>
      <c r="M138" s="181" t="n"/>
      <c r="N138" s="181" t="n"/>
      <c r="O138" s="181" t="n"/>
      <c r="P138" s="181" t="n"/>
      <c r="Q138" s="181" t="n"/>
      <c r="R138" s="181" t="n"/>
      <c r="S138" s="181" t="n"/>
      <c r="T138" s="181" t="n"/>
      <c r="U138" s="181" t="n"/>
      <c r="V138" s="181" t="n"/>
      <c r="W138" s="181" t="n"/>
      <c r="X138" s="181" t="n"/>
      <c r="Y138" s="181" t="n"/>
      <c r="Z138" s="181" t="n"/>
      <c r="AA138" s="181" t="n"/>
      <c r="AB138" s="181" t="n"/>
    </row>
    <row r="139">
      <c r="A139" s="181" t="n"/>
      <c r="B139" s="181" t="n"/>
      <c r="C139" s="181" t="n"/>
      <c r="D139" s="181" t="n"/>
      <c r="E139" s="181" t="n"/>
      <c r="F139" s="204" t="n"/>
      <c r="G139" s="204" t="n"/>
      <c r="H139" s="204" t="n"/>
      <c r="I139" s="204" t="n"/>
      <c r="J139" s="204" t="n"/>
      <c r="K139" s="181" t="n"/>
      <c r="L139" s="181" t="n"/>
      <c r="M139" s="181" t="n"/>
      <c r="N139" s="181" t="n"/>
      <c r="O139" s="181" t="n"/>
      <c r="P139" s="181" t="n"/>
      <c r="Q139" s="181" t="n"/>
      <c r="R139" s="181" t="n"/>
      <c r="S139" s="181" t="n"/>
      <c r="T139" s="181" t="n"/>
      <c r="U139" s="181" t="n"/>
      <c r="V139" s="181" t="n"/>
      <c r="W139" s="181" t="n"/>
      <c r="X139" s="181" t="n"/>
      <c r="Y139" s="181" t="n"/>
      <c r="Z139" s="181" t="n"/>
      <c r="AA139" s="181" t="n"/>
      <c r="AB139" s="181" t="n"/>
    </row>
    <row r="140">
      <c r="A140" s="181" t="n"/>
      <c r="B140" s="181" t="n"/>
      <c r="C140" s="181" t="n"/>
      <c r="D140" s="181" t="n"/>
      <c r="E140" s="181" t="n"/>
      <c r="F140" s="204" t="n"/>
      <c r="G140" s="204" t="n"/>
      <c r="H140" s="204" t="n"/>
      <c r="I140" s="204" t="n"/>
      <c r="J140" s="204" t="n"/>
      <c r="K140" s="181" t="n"/>
      <c r="L140" s="181" t="n"/>
      <c r="M140" s="181" t="n"/>
      <c r="N140" s="181" t="n"/>
      <c r="O140" s="181" t="n"/>
      <c r="P140" s="181" t="n"/>
      <c r="Q140" s="181" t="n"/>
      <c r="R140" s="181" t="n"/>
      <c r="S140" s="181" t="n"/>
      <c r="T140" s="181" t="n"/>
      <c r="U140" s="181" t="n"/>
      <c r="V140" s="181" t="n"/>
      <c r="W140" s="181" t="n"/>
      <c r="X140" s="181" t="n"/>
      <c r="Y140" s="181" t="n"/>
      <c r="Z140" s="181" t="n"/>
      <c r="AA140" s="181" t="n"/>
      <c r="AB140" s="181" t="n"/>
    </row>
    <row r="141">
      <c r="A141" s="181" t="n"/>
      <c r="B141" s="181" t="n"/>
      <c r="C141" s="181" t="n"/>
      <c r="D141" s="181" t="n"/>
      <c r="E141" s="181" t="n"/>
      <c r="F141" s="204" t="n"/>
      <c r="G141" s="204" t="n"/>
      <c r="H141" s="204" t="n"/>
      <c r="I141" s="204" t="n"/>
      <c r="J141" s="204" t="n"/>
      <c r="K141" s="181" t="n"/>
      <c r="L141" s="181" t="n"/>
      <c r="M141" s="181" t="n"/>
      <c r="N141" s="181" t="n"/>
      <c r="O141" s="181" t="n"/>
      <c r="P141" s="181" t="n"/>
      <c r="Q141" s="181" t="n"/>
      <c r="R141" s="181" t="n"/>
      <c r="S141" s="181" t="n"/>
      <c r="T141" s="181" t="n"/>
      <c r="U141" s="181" t="n"/>
      <c r="V141" s="181" t="n"/>
      <c r="W141" s="181" t="n"/>
      <c r="X141" s="181" t="n"/>
      <c r="Y141" s="181" t="n"/>
      <c r="Z141" s="181" t="n"/>
      <c r="AA141" s="181" t="n"/>
      <c r="AB141" s="181" t="n"/>
    </row>
    <row r="142">
      <c r="A142" s="181" t="n"/>
      <c r="B142" s="181" t="n"/>
      <c r="C142" s="181" t="n"/>
      <c r="D142" s="181" t="n"/>
      <c r="E142" s="181" t="n"/>
      <c r="F142" s="204" t="n"/>
      <c r="G142" s="204" t="n"/>
      <c r="H142" s="204" t="n"/>
      <c r="I142" s="204" t="n"/>
      <c r="J142" s="204" t="n"/>
      <c r="K142" s="181" t="n"/>
      <c r="L142" s="181" t="n"/>
      <c r="M142" s="181" t="n"/>
      <c r="N142" s="181" t="n"/>
      <c r="O142" s="181" t="n"/>
      <c r="P142" s="181" t="n"/>
      <c r="Q142" s="181" t="n"/>
      <c r="R142" s="181" t="n"/>
      <c r="S142" s="181" t="n"/>
      <c r="T142" s="181" t="n"/>
      <c r="U142" s="181" t="n"/>
      <c r="V142" s="181" t="n"/>
      <c r="W142" s="181" t="n"/>
      <c r="X142" s="181" t="n"/>
      <c r="Y142" s="181" t="n"/>
      <c r="Z142" s="181" t="n"/>
      <c r="AA142" s="181" t="n"/>
      <c r="AB142" s="181" t="n"/>
    </row>
    <row r="143">
      <c r="A143" s="181" t="n"/>
      <c r="B143" s="181" t="n"/>
      <c r="C143" s="181" t="n"/>
      <c r="D143" s="181" t="n"/>
      <c r="E143" s="181" t="n"/>
      <c r="F143" s="204" t="n"/>
      <c r="G143" s="204" t="n"/>
      <c r="H143" s="204" t="n"/>
      <c r="I143" s="204" t="n"/>
      <c r="J143" s="204" t="n"/>
      <c r="K143" s="181" t="n"/>
      <c r="L143" s="181" t="n"/>
      <c r="M143" s="181" t="n"/>
      <c r="N143" s="181" t="n"/>
      <c r="O143" s="181" t="n"/>
      <c r="P143" s="181" t="n"/>
      <c r="Q143" s="181" t="n"/>
      <c r="R143" s="181" t="n"/>
      <c r="S143" s="181" t="n"/>
      <c r="T143" s="181" t="n"/>
      <c r="U143" s="181" t="n"/>
      <c r="V143" s="181" t="n"/>
      <c r="W143" s="181" t="n"/>
      <c r="X143" s="181" t="n"/>
      <c r="Y143" s="181" t="n"/>
      <c r="Z143" s="181" t="n"/>
      <c r="AA143" s="181" t="n"/>
      <c r="AB143" s="181" t="n"/>
    </row>
    <row r="144">
      <c r="A144" s="181" t="n"/>
      <c r="B144" s="181" t="n"/>
      <c r="C144" s="181" t="n"/>
      <c r="D144" s="181" t="n"/>
      <c r="E144" s="181" t="n"/>
      <c r="F144" s="204" t="n"/>
      <c r="G144" s="204" t="n"/>
      <c r="H144" s="204" t="n"/>
      <c r="I144" s="204" t="n"/>
      <c r="J144" s="204" t="n"/>
      <c r="K144" s="181" t="n"/>
      <c r="L144" s="181" t="n"/>
      <c r="M144" s="181" t="n"/>
      <c r="N144" s="181" t="n"/>
      <c r="O144" s="181" t="n"/>
      <c r="P144" s="181" t="n"/>
      <c r="Q144" s="181" t="n"/>
      <c r="R144" s="181" t="n"/>
      <c r="S144" s="181" t="n"/>
      <c r="T144" s="181" t="n"/>
      <c r="U144" s="181" t="n"/>
      <c r="V144" s="181" t="n"/>
      <c r="W144" s="181" t="n"/>
      <c r="X144" s="181" t="n"/>
      <c r="Y144" s="181" t="n"/>
      <c r="Z144" s="181" t="n"/>
      <c r="AA144" s="181" t="n"/>
      <c r="AB144" s="181" t="n"/>
    </row>
    <row r="145">
      <c r="A145" s="181" t="n"/>
      <c r="B145" s="181" t="n"/>
      <c r="C145" s="181" t="n"/>
      <c r="D145" s="181" t="n"/>
      <c r="E145" s="181" t="n"/>
      <c r="F145" s="204" t="n"/>
      <c r="G145" s="204" t="n"/>
      <c r="H145" s="204" t="n"/>
      <c r="I145" s="204" t="n"/>
      <c r="J145" s="204" t="n"/>
      <c r="K145" s="181" t="n"/>
      <c r="L145" s="181" t="n"/>
      <c r="M145" s="181" t="n"/>
      <c r="N145" s="181" t="n"/>
      <c r="O145" s="181" t="n"/>
      <c r="P145" s="181" t="n"/>
      <c r="Q145" s="181" t="n"/>
      <c r="R145" s="181" t="n"/>
      <c r="S145" s="181" t="n"/>
      <c r="T145" s="181" t="n"/>
      <c r="U145" s="181" t="n"/>
      <c r="V145" s="181" t="n"/>
      <c r="W145" s="181" t="n"/>
      <c r="X145" s="181" t="n"/>
      <c r="Y145" s="181" t="n"/>
      <c r="Z145" s="181" t="n"/>
      <c r="AA145" s="181" t="n"/>
      <c r="AB145" s="181" t="n"/>
    </row>
    <row r="146">
      <c r="A146" s="181" t="n"/>
      <c r="B146" s="181" t="n"/>
      <c r="C146" s="181" t="n"/>
      <c r="D146" s="181" t="n"/>
      <c r="E146" s="181" t="n"/>
      <c r="F146" s="204" t="n"/>
      <c r="G146" s="204" t="n"/>
      <c r="H146" s="204" t="n"/>
      <c r="I146" s="204" t="n"/>
      <c r="J146" s="204" t="n"/>
      <c r="K146" s="181" t="n"/>
      <c r="L146" s="181" t="n"/>
      <c r="M146" s="181" t="n"/>
      <c r="N146" s="181" t="n"/>
      <c r="O146" s="181" t="n"/>
      <c r="P146" s="181" t="n"/>
      <c r="Q146" s="181" t="n"/>
      <c r="R146" s="181" t="n"/>
      <c r="S146" s="181" t="n"/>
      <c r="T146" s="181" t="n"/>
      <c r="U146" s="181" t="n"/>
      <c r="V146" s="181" t="n"/>
      <c r="W146" s="181" t="n"/>
      <c r="X146" s="181" t="n"/>
      <c r="Y146" s="181" t="n"/>
      <c r="Z146" s="181" t="n"/>
      <c r="AA146" s="181" t="n"/>
      <c r="AB146" s="181" t="n"/>
    </row>
    <row r="147">
      <c r="A147" s="181" t="n"/>
      <c r="B147" s="181" t="n"/>
      <c r="C147" s="181" t="n"/>
      <c r="D147" s="181" t="n"/>
      <c r="E147" s="181" t="n"/>
      <c r="F147" s="204" t="n"/>
      <c r="G147" s="204" t="n"/>
      <c r="H147" s="204" t="n"/>
      <c r="I147" s="204" t="n"/>
      <c r="J147" s="204" t="n"/>
      <c r="K147" s="181" t="n"/>
      <c r="L147" s="181" t="n"/>
      <c r="M147" s="181" t="n"/>
      <c r="N147" s="181" t="n"/>
      <c r="O147" s="181" t="n"/>
      <c r="P147" s="181" t="n"/>
      <c r="Q147" s="181" t="n"/>
      <c r="R147" s="181" t="n"/>
      <c r="S147" s="181" t="n"/>
      <c r="T147" s="181" t="n"/>
      <c r="U147" s="181" t="n"/>
      <c r="V147" s="181" t="n"/>
      <c r="W147" s="181" t="n"/>
      <c r="X147" s="181" t="n"/>
      <c r="Y147" s="181" t="n"/>
      <c r="Z147" s="181" t="n"/>
      <c r="AA147" s="181" t="n"/>
      <c r="AB147" s="181" t="n"/>
    </row>
    <row r="148">
      <c r="A148" s="181" t="n"/>
      <c r="B148" s="181" t="n"/>
      <c r="C148" s="181" t="n"/>
      <c r="D148" s="181" t="n"/>
      <c r="E148" s="181" t="n"/>
      <c r="F148" s="204" t="n"/>
      <c r="G148" s="204" t="n"/>
      <c r="H148" s="204" t="n"/>
      <c r="I148" s="204" t="n"/>
      <c r="J148" s="204" t="n"/>
      <c r="K148" s="181" t="n"/>
      <c r="L148" s="181" t="n"/>
      <c r="M148" s="181" t="n"/>
      <c r="N148" s="181" t="n"/>
      <c r="O148" s="181" t="n"/>
      <c r="P148" s="181" t="n"/>
      <c r="Q148" s="181" t="n"/>
      <c r="R148" s="181" t="n"/>
      <c r="S148" s="181" t="n"/>
      <c r="T148" s="181" t="n"/>
      <c r="U148" s="181" t="n"/>
      <c r="V148" s="181" t="n"/>
      <c r="W148" s="181" t="n"/>
      <c r="X148" s="181" t="n"/>
      <c r="Y148" s="181" t="n"/>
      <c r="Z148" s="181" t="n"/>
      <c r="AA148" s="181" t="n"/>
      <c r="AB148" s="181" t="n"/>
    </row>
    <row r="149">
      <c r="A149" s="181" t="n"/>
      <c r="B149" s="181" t="n"/>
      <c r="C149" s="181" t="n"/>
      <c r="D149" s="181" t="n"/>
      <c r="E149" s="181" t="n"/>
      <c r="F149" s="204" t="n"/>
      <c r="G149" s="204" t="n"/>
      <c r="H149" s="204" t="n"/>
      <c r="I149" s="204" t="n"/>
      <c r="J149" s="204" t="n"/>
      <c r="K149" s="181" t="n"/>
      <c r="L149" s="181" t="n"/>
      <c r="M149" s="181" t="n"/>
      <c r="N149" s="181" t="n"/>
      <c r="O149" s="181" t="n"/>
      <c r="P149" s="181" t="n"/>
      <c r="Q149" s="181" t="n"/>
      <c r="R149" s="181" t="n"/>
      <c r="S149" s="181" t="n"/>
      <c r="T149" s="181" t="n"/>
      <c r="U149" s="181" t="n"/>
      <c r="V149" s="181" t="n"/>
      <c r="W149" s="181" t="n"/>
      <c r="X149" s="181" t="n"/>
      <c r="Y149" s="181" t="n"/>
      <c r="Z149" s="181" t="n"/>
      <c r="AA149" s="181" t="n"/>
      <c r="AB149" s="181" t="n"/>
    </row>
    <row r="150">
      <c r="A150" s="181" t="n"/>
      <c r="B150" s="181" t="n"/>
      <c r="C150" s="181" t="n"/>
      <c r="D150" s="181" t="n"/>
      <c r="E150" s="181" t="n"/>
      <c r="F150" s="204" t="n"/>
      <c r="G150" s="204" t="n"/>
      <c r="H150" s="204" t="n"/>
      <c r="I150" s="204" t="n"/>
      <c r="J150" s="204" t="n"/>
      <c r="K150" s="181" t="n"/>
      <c r="L150" s="181" t="n"/>
      <c r="M150" s="181" t="n"/>
      <c r="N150" s="181" t="n"/>
      <c r="O150" s="181" t="n"/>
      <c r="P150" s="181" t="n"/>
      <c r="Q150" s="181" t="n"/>
      <c r="R150" s="181" t="n"/>
      <c r="S150" s="181" t="n"/>
      <c r="T150" s="181" t="n"/>
      <c r="U150" s="181" t="n"/>
      <c r="V150" s="181" t="n"/>
      <c r="W150" s="181" t="n"/>
      <c r="X150" s="181" t="n"/>
      <c r="Y150" s="181" t="n"/>
      <c r="Z150" s="181" t="n"/>
      <c r="AA150" s="181" t="n"/>
      <c r="AB150" s="181" t="n"/>
    </row>
    <row r="151">
      <c r="A151" s="181" t="n"/>
      <c r="B151" s="181" t="n"/>
      <c r="C151" s="181" t="n"/>
      <c r="D151" s="181" t="n"/>
      <c r="E151" s="181" t="n"/>
      <c r="F151" s="204" t="n"/>
      <c r="G151" s="204" t="n"/>
      <c r="H151" s="204" t="n"/>
      <c r="I151" s="204" t="n"/>
      <c r="J151" s="204" t="n"/>
      <c r="K151" s="181" t="n"/>
      <c r="L151" s="181" t="n"/>
      <c r="M151" s="181" t="n"/>
      <c r="N151" s="181" t="n"/>
      <c r="O151" s="181" t="n"/>
      <c r="P151" s="181" t="n"/>
      <c r="Q151" s="181" t="n"/>
      <c r="R151" s="181" t="n"/>
      <c r="S151" s="181" t="n"/>
      <c r="T151" s="181" t="n"/>
      <c r="U151" s="181" t="n"/>
      <c r="V151" s="181" t="n"/>
      <c r="W151" s="181" t="n"/>
      <c r="X151" s="181" t="n"/>
      <c r="Y151" s="181" t="n"/>
      <c r="Z151" s="181" t="n"/>
      <c r="AA151" s="181" t="n"/>
      <c r="AB151" s="181" t="n"/>
    </row>
    <row r="152">
      <c r="A152" s="181" t="n"/>
      <c r="B152" s="181" t="n"/>
      <c r="C152" s="181" t="n"/>
      <c r="D152" s="181" t="n"/>
      <c r="E152" s="181" t="n"/>
      <c r="F152" s="204" t="n"/>
      <c r="G152" s="204" t="n"/>
      <c r="H152" s="204" t="n"/>
      <c r="I152" s="204" t="n"/>
      <c r="J152" s="204" t="n"/>
      <c r="K152" s="181" t="n"/>
      <c r="L152" s="181" t="n"/>
      <c r="M152" s="181" t="n"/>
      <c r="N152" s="181" t="n"/>
      <c r="O152" s="181" t="n"/>
      <c r="P152" s="181" t="n"/>
      <c r="Q152" s="181" t="n"/>
      <c r="R152" s="181" t="n"/>
      <c r="S152" s="181" t="n"/>
      <c r="T152" s="181" t="n"/>
      <c r="U152" s="181" t="n"/>
      <c r="V152" s="181" t="n"/>
      <c r="W152" s="181" t="n"/>
      <c r="X152" s="181" t="n"/>
      <c r="Y152" s="181" t="n"/>
      <c r="Z152" s="181" t="n"/>
      <c r="AA152" s="181" t="n"/>
      <c r="AB152" s="181" t="n"/>
    </row>
    <row r="153">
      <c r="A153" s="181" t="n"/>
      <c r="B153" s="181" t="n"/>
      <c r="C153" s="181" t="n"/>
      <c r="D153" s="181" t="n"/>
      <c r="E153" s="181" t="n"/>
      <c r="F153" s="204" t="n"/>
      <c r="G153" s="204" t="n"/>
      <c r="H153" s="204" t="n"/>
      <c r="I153" s="204" t="n"/>
      <c r="J153" s="204" t="n"/>
      <c r="K153" s="181" t="n"/>
      <c r="L153" s="181" t="n"/>
      <c r="M153" s="181" t="n"/>
      <c r="N153" s="181" t="n"/>
      <c r="O153" s="181" t="n"/>
      <c r="P153" s="181" t="n"/>
      <c r="Q153" s="181" t="n"/>
      <c r="R153" s="181" t="n"/>
      <c r="S153" s="181" t="n"/>
      <c r="T153" s="181" t="n"/>
      <c r="U153" s="181" t="n"/>
      <c r="V153" s="181" t="n"/>
      <c r="W153" s="181" t="n"/>
      <c r="X153" s="181" t="n"/>
      <c r="Y153" s="181" t="n"/>
      <c r="Z153" s="181" t="n"/>
      <c r="AA153" s="181" t="n"/>
      <c r="AB153" s="181" t="n"/>
    </row>
    <row r="154">
      <c r="A154" s="181" t="n"/>
      <c r="B154" s="181" t="n"/>
      <c r="C154" s="181" t="n"/>
      <c r="D154" s="181" t="n"/>
      <c r="E154" s="181" t="n"/>
      <c r="F154" s="204" t="n"/>
      <c r="G154" s="204" t="n"/>
      <c r="H154" s="204" t="n"/>
      <c r="I154" s="204" t="n"/>
      <c r="J154" s="204" t="n"/>
      <c r="K154" s="181" t="n"/>
      <c r="L154" s="181" t="n"/>
      <c r="M154" s="181" t="n"/>
      <c r="N154" s="181" t="n"/>
      <c r="O154" s="181" t="n"/>
      <c r="P154" s="181" t="n"/>
      <c r="Q154" s="181" t="n"/>
      <c r="R154" s="181" t="n"/>
      <c r="S154" s="181" t="n"/>
      <c r="T154" s="181" t="n"/>
      <c r="U154" s="181" t="n"/>
      <c r="V154" s="181" t="n"/>
      <c r="W154" s="181" t="n"/>
      <c r="X154" s="181" t="n"/>
      <c r="Y154" s="181" t="n"/>
      <c r="Z154" s="181" t="n"/>
      <c r="AA154" s="181" t="n"/>
      <c r="AB154" s="181" t="n"/>
    </row>
    <row r="155">
      <c r="A155" s="181" t="n"/>
      <c r="B155" s="181" t="n"/>
      <c r="C155" s="181" t="n"/>
      <c r="D155" s="181" t="n"/>
      <c r="E155" s="181" t="n"/>
      <c r="F155" s="204" t="n"/>
      <c r="G155" s="204" t="n"/>
      <c r="H155" s="204" t="n"/>
      <c r="I155" s="204" t="n"/>
      <c r="J155" s="204" t="n"/>
      <c r="K155" s="181" t="n"/>
      <c r="L155" s="181" t="n"/>
      <c r="M155" s="181" t="n"/>
      <c r="N155" s="181" t="n"/>
      <c r="O155" s="181" t="n"/>
      <c r="P155" s="181" t="n"/>
      <c r="Q155" s="181" t="n"/>
      <c r="R155" s="181" t="n"/>
      <c r="S155" s="181" t="n"/>
      <c r="T155" s="181" t="n"/>
      <c r="U155" s="181" t="n"/>
      <c r="V155" s="181" t="n"/>
      <c r="W155" s="181" t="n"/>
      <c r="X155" s="181" t="n"/>
      <c r="Y155" s="181" t="n"/>
      <c r="Z155" s="181" t="n"/>
      <c r="AA155" s="181" t="n"/>
      <c r="AB155" s="181" t="n"/>
    </row>
    <row r="156">
      <c r="A156" s="181" t="n"/>
      <c r="B156" s="181" t="n"/>
      <c r="C156" s="181" t="n"/>
      <c r="D156" s="181" t="n"/>
      <c r="E156" s="181" t="n"/>
      <c r="F156" s="204" t="n"/>
      <c r="G156" s="204" t="n"/>
      <c r="H156" s="204" t="n"/>
      <c r="I156" s="204" t="n"/>
      <c r="J156" s="204" t="n"/>
      <c r="K156" s="181" t="n"/>
      <c r="L156" s="181" t="n"/>
      <c r="M156" s="181" t="n"/>
      <c r="N156" s="181" t="n"/>
      <c r="O156" s="181" t="n"/>
      <c r="P156" s="181" t="n"/>
      <c r="Q156" s="181" t="n"/>
      <c r="R156" s="181" t="n"/>
      <c r="S156" s="181" t="n"/>
      <c r="T156" s="181" t="n"/>
      <c r="U156" s="181" t="n"/>
      <c r="V156" s="181" t="n"/>
      <c r="W156" s="181" t="n"/>
      <c r="X156" s="181" t="n"/>
      <c r="Y156" s="181" t="n"/>
      <c r="Z156" s="181" t="n"/>
      <c r="AA156" s="181" t="n"/>
      <c r="AB156" s="181" t="n"/>
    </row>
    <row r="157">
      <c r="A157" s="181" t="n"/>
      <c r="B157" s="181" t="n"/>
      <c r="C157" s="181" t="n"/>
      <c r="D157" s="181" t="n"/>
      <c r="E157" s="181" t="n"/>
      <c r="F157" s="204" t="n"/>
      <c r="G157" s="204" t="n"/>
      <c r="H157" s="204" t="n"/>
      <c r="I157" s="204" t="n"/>
      <c r="J157" s="204" t="n"/>
      <c r="K157" s="181" t="n"/>
      <c r="L157" s="181" t="n"/>
      <c r="M157" s="181" t="n"/>
      <c r="N157" s="181" t="n"/>
      <c r="O157" s="181" t="n"/>
      <c r="P157" s="181" t="n"/>
      <c r="Q157" s="181" t="n"/>
      <c r="R157" s="181" t="n"/>
      <c r="S157" s="181" t="n"/>
      <c r="T157" s="181" t="n"/>
      <c r="U157" s="181" t="n"/>
      <c r="V157" s="181" t="n"/>
      <c r="W157" s="181" t="n"/>
      <c r="X157" s="181" t="n"/>
      <c r="Y157" s="181" t="n"/>
      <c r="Z157" s="181" t="n"/>
      <c r="AA157" s="181" t="n"/>
      <c r="AB157" s="181" t="n"/>
    </row>
    <row r="158">
      <c r="A158" s="181" t="n"/>
      <c r="B158" s="181" t="n"/>
      <c r="C158" s="181" t="n"/>
      <c r="D158" s="181" t="n"/>
      <c r="E158" s="181" t="n"/>
      <c r="F158" s="204" t="n"/>
      <c r="G158" s="204" t="n"/>
      <c r="H158" s="204" t="n"/>
      <c r="I158" s="204" t="n"/>
      <c r="J158" s="204" t="n"/>
      <c r="K158" s="181" t="n"/>
      <c r="L158" s="181" t="n"/>
      <c r="M158" s="181" t="n"/>
      <c r="N158" s="181" t="n"/>
      <c r="O158" s="181" t="n"/>
      <c r="P158" s="181" t="n"/>
      <c r="Q158" s="181" t="n"/>
      <c r="R158" s="181" t="n"/>
      <c r="S158" s="181" t="n"/>
      <c r="T158" s="181" t="n"/>
      <c r="U158" s="181" t="n"/>
      <c r="V158" s="181" t="n"/>
      <c r="W158" s="181" t="n"/>
      <c r="X158" s="181" t="n"/>
      <c r="Y158" s="181" t="n"/>
      <c r="Z158" s="181" t="n"/>
      <c r="AA158" s="181" t="n"/>
      <c r="AB158" s="181" t="n"/>
    </row>
    <row r="159">
      <c r="A159" s="181" t="n"/>
      <c r="B159" s="181" t="n"/>
      <c r="C159" s="181" t="n"/>
      <c r="D159" s="181" t="n"/>
      <c r="E159" s="181" t="n"/>
      <c r="F159" s="204" t="n"/>
      <c r="G159" s="204" t="n"/>
      <c r="H159" s="204" t="n"/>
      <c r="I159" s="204" t="n"/>
      <c r="J159" s="204" t="n"/>
      <c r="K159" s="181" t="n"/>
      <c r="L159" s="181" t="n"/>
      <c r="M159" s="181" t="n"/>
      <c r="N159" s="181" t="n"/>
      <c r="O159" s="181" t="n"/>
      <c r="P159" s="181" t="n"/>
      <c r="Q159" s="181" t="n"/>
      <c r="R159" s="181" t="n"/>
      <c r="S159" s="181" t="n"/>
      <c r="T159" s="181" t="n"/>
      <c r="U159" s="181" t="n"/>
      <c r="V159" s="181" t="n"/>
      <c r="W159" s="181" t="n"/>
      <c r="X159" s="181" t="n"/>
      <c r="Y159" s="181" t="n"/>
      <c r="Z159" s="181" t="n"/>
      <c r="AA159" s="181" t="n"/>
      <c r="AB159" s="181" t="n"/>
    </row>
    <row r="160">
      <c r="A160" s="181" t="n"/>
      <c r="B160" s="181" t="n"/>
      <c r="C160" s="181" t="n"/>
      <c r="D160" s="181" t="n"/>
      <c r="E160" s="181" t="n"/>
      <c r="F160" s="204" t="n"/>
      <c r="G160" s="204" t="n"/>
      <c r="H160" s="204" t="n"/>
      <c r="I160" s="204" t="n"/>
      <c r="J160" s="204" t="n"/>
      <c r="K160" s="181" t="n"/>
      <c r="L160" s="181" t="n"/>
      <c r="M160" s="181" t="n"/>
      <c r="N160" s="181" t="n"/>
      <c r="O160" s="181" t="n"/>
      <c r="P160" s="181" t="n"/>
      <c r="Q160" s="181" t="n"/>
      <c r="R160" s="181" t="n"/>
      <c r="S160" s="181" t="n"/>
      <c r="T160" s="181" t="n"/>
      <c r="U160" s="181" t="n"/>
      <c r="V160" s="181" t="n"/>
      <c r="W160" s="181" t="n"/>
      <c r="X160" s="181" t="n"/>
      <c r="Y160" s="181" t="n"/>
      <c r="Z160" s="181" t="n"/>
      <c r="AA160" s="181" t="n"/>
      <c r="AB160" s="181" t="n"/>
    </row>
    <row r="161">
      <c r="A161" s="181" t="n"/>
      <c r="B161" s="181" t="n"/>
      <c r="C161" s="181" t="n"/>
      <c r="D161" s="181" t="n"/>
      <c r="E161" s="181" t="n"/>
      <c r="F161" s="204" t="n"/>
      <c r="G161" s="204" t="n"/>
      <c r="H161" s="204" t="n"/>
      <c r="I161" s="204" t="n"/>
      <c r="J161" s="204" t="n"/>
      <c r="K161" s="181" t="n"/>
      <c r="L161" s="181" t="n"/>
      <c r="M161" s="181" t="n"/>
      <c r="N161" s="181" t="n"/>
      <c r="O161" s="181" t="n"/>
      <c r="P161" s="181" t="n"/>
      <c r="Q161" s="181" t="n"/>
      <c r="R161" s="181" t="n"/>
      <c r="S161" s="181" t="n"/>
      <c r="T161" s="181" t="n"/>
      <c r="U161" s="181" t="n"/>
      <c r="V161" s="181" t="n"/>
      <c r="W161" s="181" t="n"/>
      <c r="X161" s="181" t="n"/>
      <c r="Y161" s="181" t="n"/>
      <c r="Z161" s="181" t="n"/>
      <c r="AA161" s="181" t="n"/>
      <c r="AB161" s="181" t="n"/>
    </row>
    <row r="162">
      <c r="A162" s="181" t="n"/>
      <c r="B162" s="181" t="n"/>
      <c r="C162" s="181" t="n"/>
      <c r="D162" s="181" t="n"/>
      <c r="E162" s="181" t="n"/>
      <c r="F162" s="204" t="n"/>
      <c r="G162" s="204" t="n"/>
      <c r="H162" s="204" t="n"/>
      <c r="I162" s="204" t="n"/>
      <c r="J162" s="204" t="n"/>
      <c r="K162" s="181" t="n"/>
      <c r="L162" s="181" t="n"/>
      <c r="M162" s="181" t="n"/>
      <c r="N162" s="181" t="n"/>
      <c r="O162" s="181" t="n"/>
      <c r="P162" s="181" t="n"/>
      <c r="Q162" s="181" t="n"/>
      <c r="R162" s="181" t="n"/>
      <c r="S162" s="181" t="n"/>
      <c r="T162" s="181" t="n"/>
      <c r="U162" s="181" t="n"/>
      <c r="V162" s="181" t="n"/>
      <c r="W162" s="181" t="n"/>
      <c r="X162" s="181" t="n"/>
      <c r="Y162" s="181" t="n"/>
      <c r="Z162" s="181" t="n"/>
      <c r="AA162" s="181" t="n"/>
      <c r="AB162" s="181" t="n"/>
    </row>
    <row r="163">
      <c r="A163" s="181" t="n"/>
      <c r="B163" s="181" t="n"/>
      <c r="C163" s="181" t="n"/>
      <c r="D163" s="181" t="n"/>
      <c r="E163" s="181" t="n"/>
      <c r="F163" s="204" t="n"/>
      <c r="G163" s="204" t="n"/>
      <c r="H163" s="204" t="n"/>
      <c r="I163" s="204" t="n"/>
      <c r="J163" s="204" t="n"/>
      <c r="K163" s="181" t="n"/>
      <c r="L163" s="181" t="n"/>
      <c r="M163" s="181" t="n"/>
      <c r="N163" s="181" t="n"/>
      <c r="O163" s="181" t="n"/>
      <c r="P163" s="181" t="n"/>
      <c r="Q163" s="181" t="n"/>
      <c r="R163" s="181" t="n"/>
      <c r="S163" s="181" t="n"/>
      <c r="T163" s="181" t="n"/>
      <c r="U163" s="181" t="n"/>
      <c r="V163" s="181" t="n"/>
      <c r="W163" s="181" t="n"/>
      <c r="X163" s="181" t="n"/>
      <c r="Y163" s="181" t="n"/>
      <c r="Z163" s="181" t="n"/>
      <c r="AA163" s="181" t="n"/>
      <c r="AB163" s="181" t="n"/>
    </row>
    <row r="164">
      <c r="A164" s="181" t="n"/>
      <c r="B164" s="181" t="n"/>
      <c r="C164" s="181" t="n"/>
      <c r="D164" s="181" t="n"/>
      <c r="E164" s="181" t="n"/>
      <c r="F164" s="204" t="n"/>
      <c r="G164" s="204" t="n"/>
      <c r="H164" s="204" t="n"/>
      <c r="I164" s="204" t="n"/>
      <c r="J164" s="204" t="n"/>
      <c r="K164" s="181" t="n"/>
      <c r="L164" s="181" t="n"/>
      <c r="M164" s="181" t="n"/>
      <c r="N164" s="181" t="n"/>
      <c r="O164" s="181" t="n"/>
      <c r="P164" s="181" t="n"/>
      <c r="Q164" s="181" t="n"/>
      <c r="R164" s="181" t="n"/>
      <c r="S164" s="181" t="n"/>
      <c r="T164" s="181" t="n"/>
      <c r="U164" s="181" t="n"/>
      <c r="V164" s="181" t="n"/>
      <c r="W164" s="181" t="n"/>
      <c r="X164" s="181" t="n"/>
      <c r="Y164" s="181" t="n"/>
      <c r="Z164" s="181" t="n"/>
      <c r="AA164" s="181" t="n"/>
      <c r="AB164" s="181" t="n"/>
    </row>
    <row r="165">
      <c r="A165" s="181" t="n"/>
      <c r="B165" s="181" t="n"/>
      <c r="C165" s="181" t="n"/>
      <c r="D165" s="181" t="n"/>
      <c r="E165" s="181" t="n"/>
      <c r="F165" s="204" t="n"/>
      <c r="G165" s="204" t="n"/>
      <c r="H165" s="204" t="n"/>
      <c r="I165" s="204" t="n"/>
      <c r="J165" s="204" t="n"/>
      <c r="K165" s="181" t="n"/>
      <c r="L165" s="181" t="n"/>
      <c r="M165" s="181" t="n"/>
      <c r="N165" s="181" t="n"/>
      <c r="O165" s="181" t="n"/>
      <c r="P165" s="181" t="n"/>
      <c r="Q165" s="181" t="n"/>
      <c r="R165" s="181" t="n"/>
      <c r="S165" s="181" t="n"/>
      <c r="T165" s="181" t="n"/>
      <c r="U165" s="181" t="n"/>
      <c r="V165" s="181" t="n"/>
      <c r="W165" s="181" t="n"/>
      <c r="X165" s="181" t="n"/>
      <c r="Y165" s="181" t="n"/>
      <c r="Z165" s="181" t="n"/>
      <c r="AA165" s="181" t="n"/>
      <c r="AB165" s="181" t="n"/>
    </row>
    <row r="166">
      <c r="A166" s="181" t="n"/>
      <c r="B166" s="181" t="n"/>
      <c r="C166" s="181" t="n"/>
      <c r="D166" s="181" t="n"/>
      <c r="E166" s="181" t="n"/>
      <c r="F166" s="204" t="n"/>
      <c r="G166" s="204" t="n"/>
      <c r="H166" s="204" t="n"/>
      <c r="I166" s="204" t="n"/>
      <c r="J166" s="204" t="n"/>
      <c r="K166" s="181" t="n"/>
      <c r="L166" s="181" t="n"/>
      <c r="M166" s="181" t="n"/>
      <c r="N166" s="181" t="n"/>
      <c r="O166" s="181" t="n"/>
      <c r="P166" s="181" t="n"/>
      <c r="Q166" s="181" t="n"/>
      <c r="R166" s="181" t="n"/>
      <c r="S166" s="181" t="n"/>
      <c r="T166" s="181" t="n"/>
      <c r="U166" s="181" t="n"/>
      <c r="V166" s="181" t="n"/>
      <c r="W166" s="181" t="n"/>
      <c r="X166" s="181" t="n"/>
      <c r="Y166" s="181" t="n"/>
      <c r="Z166" s="181" t="n"/>
      <c r="AA166" s="181" t="n"/>
      <c r="AB166" s="181" t="n"/>
    </row>
    <row r="167">
      <c r="A167" s="181" t="n"/>
      <c r="B167" s="181" t="n"/>
      <c r="C167" s="181" t="n"/>
      <c r="D167" s="181" t="n"/>
      <c r="E167" s="181" t="n"/>
      <c r="F167" s="204" t="n"/>
      <c r="G167" s="204" t="n"/>
      <c r="H167" s="204" t="n"/>
      <c r="I167" s="204" t="n"/>
      <c r="J167" s="204" t="n"/>
      <c r="K167" s="181" t="n"/>
      <c r="L167" s="181" t="n"/>
      <c r="M167" s="181" t="n"/>
      <c r="N167" s="181" t="n"/>
      <c r="O167" s="181" t="n"/>
      <c r="P167" s="181" t="n"/>
      <c r="Q167" s="181" t="n"/>
      <c r="R167" s="181" t="n"/>
      <c r="S167" s="181" t="n"/>
      <c r="T167" s="181" t="n"/>
      <c r="U167" s="181" t="n"/>
      <c r="V167" s="181" t="n"/>
      <c r="W167" s="181" t="n"/>
      <c r="X167" s="181" t="n"/>
      <c r="Y167" s="181" t="n"/>
      <c r="Z167" s="181" t="n"/>
      <c r="AA167" s="181" t="n"/>
      <c r="AB167" s="181" t="n"/>
    </row>
    <row r="168">
      <c r="A168" s="181" t="n"/>
      <c r="B168" s="181" t="n"/>
      <c r="C168" s="181" t="n"/>
      <c r="D168" s="181" t="n"/>
      <c r="E168" s="181" t="n"/>
      <c r="F168" s="204" t="n"/>
      <c r="G168" s="204" t="n"/>
      <c r="H168" s="204" t="n"/>
      <c r="I168" s="204" t="n"/>
      <c r="J168" s="204" t="n"/>
      <c r="K168" s="181" t="n"/>
      <c r="L168" s="181" t="n"/>
      <c r="M168" s="181" t="n"/>
      <c r="N168" s="181" t="n"/>
      <c r="O168" s="181" t="n"/>
      <c r="P168" s="181" t="n"/>
      <c r="Q168" s="181" t="n"/>
      <c r="R168" s="181" t="n"/>
      <c r="S168" s="181" t="n"/>
      <c r="T168" s="181" t="n"/>
      <c r="U168" s="181" t="n"/>
      <c r="V168" s="181" t="n"/>
      <c r="W168" s="181" t="n"/>
      <c r="X168" s="181" t="n"/>
      <c r="Y168" s="181" t="n"/>
      <c r="Z168" s="181" t="n"/>
      <c r="AA168" s="181" t="n"/>
      <c r="AB168" s="181" t="n"/>
    </row>
    <row r="169">
      <c r="A169" s="181" t="n"/>
      <c r="B169" s="181" t="n"/>
      <c r="C169" s="181" t="n"/>
      <c r="D169" s="181" t="n"/>
      <c r="E169" s="181" t="n"/>
      <c r="F169" s="204" t="n"/>
      <c r="G169" s="204" t="n"/>
      <c r="H169" s="204" t="n"/>
      <c r="I169" s="204" t="n"/>
      <c r="J169" s="204" t="n"/>
      <c r="K169" s="181" t="n"/>
      <c r="L169" s="181" t="n"/>
      <c r="M169" s="181" t="n"/>
      <c r="N169" s="181" t="n"/>
      <c r="O169" s="181" t="n"/>
      <c r="P169" s="181" t="n"/>
      <c r="Q169" s="181" t="n"/>
      <c r="R169" s="181" t="n"/>
      <c r="S169" s="181" t="n"/>
      <c r="T169" s="181" t="n"/>
      <c r="U169" s="181" t="n"/>
      <c r="V169" s="181" t="n"/>
      <c r="W169" s="181" t="n"/>
      <c r="X169" s="181" t="n"/>
      <c r="Y169" s="181" t="n"/>
      <c r="Z169" s="181" t="n"/>
      <c r="AA169" s="181" t="n"/>
      <c r="AB169" s="181" t="n"/>
    </row>
    <row r="170">
      <c r="A170" s="181" t="n"/>
      <c r="B170" s="181" t="n"/>
      <c r="C170" s="181" t="n"/>
      <c r="D170" s="181" t="n"/>
      <c r="E170" s="181" t="n"/>
      <c r="F170" s="204" t="n"/>
      <c r="G170" s="204" t="n"/>
      <c r="H170" s="204" t="n"/>
      <c r="I170" s="204" t="n"/>
      <c r="J170" s="204" t="n"/>
      <c r="K170" s="181" t="n"/>
      <c r="L170" s="181" t="n"/>
      <c r="M170" s="181" t="n"/>
      <c r="N170" s="181" t="n"/>
      <c r="O170" s="181" t="n"/>
      <c r="P170" s="181" t="n"/>
      <c r="Q170" s="181" t="n"/>
      <c r="R170" s="181" t="n"/>
      <c r="S170" s="181" t="n"/>
      <c r="T170" s="181" t="n"/>
      <c r="U170" s="181" t="n"/>
      <c r="V170" s="181" t="n"/>
      <c r="W170" s="181" t="n"/>
      <c r="X170" s="181" t="n"/>
      <c r="Y170" s="181" t="n"/>
      <c r="Z170" s="181" t="n"/>
      <c r="AA170" s="181" t="n"/>
      <c r="AB170" s="181" t="n"/>
    </row>
    <row r="171">
      <c r="A171" s="181" t="n"/>
      <c r="B171" s="181" t="n"/>
      <c r="C171" s="181" t="n"/>
      <c r="D171" s="181" t="n"/>
      <c r="E171" s="181" t="n"/>
      <c r="F171" s="204" t="n"/>
      <c r="G171" s="204" t="n"/>
      <c r="H171" s="204" t="n"/>
      <c r="I171" s="204" t="n"/>
      <c r="J171" s="204" t="n"/>
      <c r="K171" s="181" t="n"/>
      <c r="L171" s="181" t="n"/>
      <c r="M171" s="181" t="n"/>
      <c r="N171" s="181" t="n"/>
      <c r="O171" s="181" t="n"/>
      <c r="P171" s="181" t="n"/>
      <c r="Q171" s="181" t="n"/>
      <c r="R171" s="181" t="n"/>
      <c r="S171" s="181" t="n"/>
      <c r="T171" s="181" t="n"/>
      <c r="U171" s="181" t="n"/>
      <c r="V171" s="181" t="n"/>
      <c r="W171" s="181" t="n"/>
      <c r="X171" s="181" t="n"/>
      <c r="Y171" s="181" t="n"/>
      <c r="Z171" s="181" t="n"/>
      <c r="AA171" s="181" t="n"/>
      <c r="AB171" s="181" t="n"/>
    </row>
    <row r="172">
      <c r="A172" s="181" t="n"/>
      <c r="B172" s="181" t="n"/>
      <c r="C172" s="181" t="n"/>
      <c r="D172" s="181" t="n"/>
      <c r="E172" s="181" t="n"/>
      <c r="F172" s="204" t="n"/>
      <c r="G172" s="204" t="n"/>
      <c r="H172" s="204" t="n"/>
      <c r="I172" s="204" t="n"/>
      <c r="J172" s="204" t="n"/>
      <c r="K172" s="181" t="n"/>
      <c r="L172" s="181" t="n"/>
      <c r="M172" s="181" t="n"/>
      <c r="N172" s="181" t="n"/>
      <c r="O172" s="181" t="n"/>
      <c r="P172" s="181" t="n"/>
      <c r="Q172" s="181" t="n"/>
      <c r="R172" s="181" t="n"/>
      <c r="S172" s="181" t="n"/>
      <c r="T172" s="181" t="n"/>
      <c r="U172" s="181" t="n"/>
      <c r="V172" s="181" t="n"/>
      <c r="W172" s="181" t="n"/>
      <c r="X172" s="181" t="n"/>
      <c r="Y172" s="181" t="n"/>
      <c r="Z172" s="181" t="n"/>
      <c r="AA172" s="181" t="n"/>
      <c r="AB172" s="181" t="n"/>
    </row>
    <row r="173">
      <c r="A173" s="181" t="n"/>
      <c r="B173" s="181" t="n"/>
      <c r="C173" s="181" t="n"/>
      <c r="D173" s="181" t="n"/>
      <c r="E173" s="181" t="n"/>
      <c r="F173" s="204" t="n"/>
      <c r="G173" s="204" t="n"/>
      <c r="H173" s="204" t="n"/>
      <c r="I173" s="204" t="n"/>
      <c r="J173" s="204" t="n"/>
      <c r="K173" s="181" t="n"/>
      <c r="L173" s="181" t="n"/>
      <c r="M173" s="181" t="n"/>
      <c r="N173" s="181" t="n"/>
      <c r="O173" s="181" t="n"/>
      <c r="P173" s="181" t="n"/>
      <c r="Q173" s="181" t="n"/>
      <c r="R173" s="181" t="n"/>
      <c r="S173" s="181" t="n"/>
      <c r="T173" s="181" t="n"/>
      <c r="U173" s="181" t="n"/>
      <c r="V173" s="181" t="n"/>
      <c r="W173" s="181" t="n"/>
      <c r="X173" s="181" t="n"/>
      <c r="Y173" s="181" t="n"/>
      <c r="Z173" s="181" t="n"/>
      <c r="AA173" s="181" t="n"/>
      <c r="AB173" s="181" t="n"/>
    </row>
    <row r="174">
      <c r="A174" s="181" t="n"/>
      <c r="B174" s="181" t="n"/>
      <c r="C174" s="181" t="n"/>
      <c r="D174" s="181" t="n"/>
      <c r="E174" s="181" t="n"/>
      <c r="F174" s="204" t="n"/>
      <c r="G174" s="204" t="n"/>
      <c r="H174" s="204" t="n"/>
      <c r="I174" s="204" t="n"/>
      <c r="J174" s="204" t="n"/>
      <c r="K174" s="181" t="n"/>
      <c r="L174" s="181" t="n"/>
      <c r="M174" s="181" t="n"/>
      <c r="N174" s="181" t="n"/>
      <c r="O174" s="181" t="n"/>
      <c r="P174" s="181" t="n"/>
      <c r="Q174" s="181" t="n"/>
      <c r="R174" s="181" t="n"/>
      <c r="S174" s="181" t="n"/>
      <c r="T174" s="181" t="n"/>
      <c r="U174" s="181" t="n"/>
      <c r="V174" s="181" t="n"/>
      <c r="W174" s="181" t="n"/>
      <c r="X174" s="181" t="n"/>
      <c r="Y174" s="181" t="n"/>
      <c r="Z174" s="181" t="n"/>
      <c r="AA174" s="181" t="n"/>
      <c r="AB174" s="181" t="n"/>
    </row>
    <row r="175">
      <c r="A175" s="181" t="n"/>
      <c r="B175" s="181" t="n"/>
      <c r="C175" s="181" t="n"/>
      <c r="D175" s="181" t="n"/>
      <c r="E175" s="181" t="n"/>
      <c r="F175" s="204" t="n"/>
      <c r="G175" s="204" t="n"/>
      <c r="H175" s="204" t="n"/>
      <c r="I175" s="204" t="n"/>
      <c r="J175" s="204" t="n"/>
      <c r="K175" s="181" t="n"/>
      <c r="L175" s="181" t="n"/>
      <c r="M175" s="181" t="n"/>
      <c r="N175" s="181" t="n"/>
      <c r="O175" s="181" t="n"/>
      <c r="P175" s="181" t="n"/>
      <c r="Q175" s="181" t="n"/>
      <c r="R175" s="181" t="n"/>
      <c r="S175" s="181" t="n"/>
      <c r="T175" s="181" t="n"/>
      <c r="U175" s="181" t="n"/>
      <c r="V175" s="181" t="n"/>
      <c r="W175" s="181" t="n"/>
      <c r="X175" s="181" t="n"/>
      <c r="Y175" s="181" t="n"/>
      <c r="Z175" s="181" t="n"/>
      <c r="AA175" s="181" t="n"/>
      <c r="AB175" s="181" t="n"/>
    </row>
    <row r="176">
      <c r="A176" s="181" t="n"/>
      <c r="B176" s="181" t="n"/>
      <c r="C176" s="181" t="n"/>
      <c r="D176" s="181" t="n"/>
      <c r="E176" s="181" t="n"/>
      <c r="F176" s="204" t="n"/>
      <c r="G176" s="204" t="n"/>
      <c r="H176" s="204" t="n"/>
      <c r="I176" s="204" t="n"/>
      <c r="J176" s="204" t="n"/>
      <c r="K176" s="181" t="n"/>
      <c r="L176" s="181" t="n"/>
      <c r="M176" s="181" t="n"/>
      <c r="N176" s="181" t="n"/>
      <c r="O176" s="181" t="n"/>
      <c r="P176" s="181" t="n"/>
      <c r="Q176" s="181" t="n"/>
      <c r="R176" s="181" t="n"/>
      <c r="S176" s="181" t="n"/>
      <c r="T176" s="181" t="n"/>
      <c r="U176" s="181" t="n"/>
      <c r="V176" s="181" t="n"/>
      <c r="W176" s="181" t="n"/>
      <c r="X176" s="181" t="n"/>
      <c r="Y176" s="181" t="n"/>
      <c r="Z176" s="181" t="n"/>
      <c r="AA176" s="181" t="n"/>
      <c r="AB176" s="181" t="n"/>
    </row>
    <row r="177">
      <c r="A177" s="181" t="n"/>
      <c r="B177" s="181" t="n"/>
      <c r="C177" s="181" t="n"/>
      <c r="D177" s="181" t="n"/>
      <c r="E177" s="181" t="n"/>
      <c r="F177" s="204" t="n"/>
      <c r="G177" s="204" t="n"/>
      <c r="H177" s="204" t="n"/>
      <c r="I177" s="204" t="n"/>
      <c r="J177" s="204" t="n"/>
      <c r="K177" s="181" t="n"/>
      <c r="L177" s="181" t="n"/>
      <c r="M177" s="181" t="n"/>
      <c r="N177" s="181" t="n"/>
      <c r="O177" s="181" t="n"/>
      <c r="P177" s="181" t="n"/>
      <c r="Q177" s="181" t="n"/>
      <c r="R177" s="181" t="n"/>
      <c r="S177" s="181" t="n"/>
      <c r="T177" s="181" t="n"/>
      <c r="U177" s="181" t="n"/>
      <c r="V177" s="181" t="n"/>
      <c r="W177" s="181" t="n"/>
      <c r="X177" s="181" t="n"/>
      <c r="Y177" s="181" t="n"/>
      <c r="Z177" s="181" t="n"/>
      <c r="AA177" s="181" t="n"/>
      <c r="AB177" s="181" t="n"/>
    </row>
    <row r="178">
      <c r="A178" s="181" t="n"/>
      <c r="B178" s="181" t="n"/>
      <c r="C178" s="181" t="n"/>
      <c r="D178" s="181" t="n"/>
      <c r="E178" s="181" t="n"/>
      <c r="F178" s="204" t="n"/>
      <c r="G178" s="204" t="n"/>
      <c r="H178" s="204" t="n"/>
      <c r="I178" s="204" t="n"/>
      <c r="J178" s="204" t="n"/>
      <c r="K178" s="181" t="n"/>
      <c r="L178" s="181" t="n"/>
      <c r="M178" s="181" t="n"/>
      <c r="N178" s="181" t="n"/>
      <c r="O178" s="181" t="n"/>
      <c r="P178" s="181" t="n"/>
      <c r="Q178" s="181" t="n"/>
      <c r="R178" s="181" t="n"/>
      <c r="S178" s="181" t="n"/>
      <c r="T178" s="181" t="n"/>
      <c r="U178" s="181" t="n"/>
      <c r="V178" s="181" t="n"/>
      <c r="W178" s="181" t="n"/>
      <c r="X178" s="181" t="n"/>
      <c r="Y178" s="181" t="n"/>
      <c r="Z178" s="181" t="n"/>
      <c r="AA178" s="181" t="n"/>
      <c r="AB178" s="181" t="n"/>
    </row>
    <row r="179">
      <c r="A179" s="181" t="n"/>
      <c r="B179" s="181" t="n"/>
      <c r="C179" s="181" t="n"/>
      <c r="D179" s="181" t="n"/>
      <c r="E179" s="181" t="n"/>
      <c r="F179" s="204" t="n"/>
      <c r="G179" s="204" t="n"/>
      <c r="H179" s="204" t="n"/>
      <c r="I179" s="204" t="n"/>
      <c r="J179" s="204" t="n"/>
      <c r="K179" s="181" t="n"/>
      <c r="L179" s="181" t="n"/>
      <c r="M179" s="181" t="n"/>
      <c r="N179" s="181" t="n"/>
      <c r="O179" s="181" t="n"/>
      <c r="P179" s="181" t="n"/>
      <c r="Q179" s="181" t="n"/>
      <c r="R179" s="181" t="n"/>
      <c r="S179" s="181" t="n"/>
      <c r="T179" s="181" t="n"/>
      <c r="U179" s="181" t="n"/>
      <c r="V179" s="181" t="n"/>
      <c r="W179" s="181" t="n"/>
      <c r="X179" s="181" t="n"/>
      <c r="Y179" s="181" t="n"/>
      <c r="Z179" s="181" t="n"/>
      <c r="AA179" s="181" t="n"/>
      <c r="AB179" s="181" t="n"/>
    </row>
    <row r="180">
      <c r="A180" s="181" t="n"/>
      <c r="B180" s="181" t="n"/>
      <c r="C180" s="181" t="n"/>
      <c r="D180" s="181" t="n"/>
      <c r="E180" s="181" t="n"/>
      <c r="F180" s="204" t="n"/>
      <c r="G180" s="204" t="n"/>
      <c r="H180" s="204" t="n"/>
      <c r="I180" s="204" t="n"/>
      <c r="J180" s="204" t="n"/>
      <c r="K180" s="181" t="n"/>
      <c r="L180" s="181" t="n"/>
      <c r="M180" s="181" t="n"/>
      <c r="N180" s="181" t="n"/>
      <c r="O180" s="181" t="n"/>
      <c r="P180" s="181" t="n"/>
      <c r="Q180" s="181" t="n"/>
      <c r="R180" s="181" t="n"/>
      <c r="S180" s="181" t="n"/>
      <c r="T180" s="181" t="n"/>
      <c r="U180" s="181" t="n"/>
      <c r="V180" s="181" t="n"/>
      <c r="W180" s="181" t="n"/>
      <c r="X180" s="181" t="n"/>
      <c r="Y180" s="181" t="n"/>
      <c r="Z180" s="181" t="n"/>
      <c r="AA180" s="181" t="n"/>
      <c r="AB180" s="181" t="n"/>
    </row>
    <row r="181">
      <c r="A181" s="181" t="n"/>
      <c r="B181" s="181" t="n"/>
      <c r="C181" s="181" t="n"/>
      <c r="D181" s="181" t="n"/>
      <c r="E181" s="181" t="n"/>
      <c r="F181" s="204" t="n"/>
      <c r="G181" s="204" t="n"/>
      <c r="H181" s="204" t="n"/>
      <c r="I181" s="204" t="n"/>
      <c r="J181" s="204" t="n"/>
      <c r="K181" s="181" t="n"/>
      <c r="L181" s="181" t="n"/>
      <c r="M181" s="181" t="n"/>
      <c r="N181" s="181" t="n"/>
      <c r="O181" s="181" t="n"/>
      <c r="P181" s="181" t="n"/>
      <c r="Q181" s="181" t="n"/>
      <c r="R181" s="181" t="n"/>
      <c r="S181" s="181" t="n"/>
      <c r="T181" s="181" t="n"/>
      <c r="U181" s="181" t="n"/>
      <c r="V181" s="181" t="n"/>
      <c r="W181" s="181" t="n"/>
      <c r="X181" s="181" t="n"/>
      <c r="Y181" s="181" t="n"/>
      <c r="Z181" s="181" t="n"/>
      <c r="AA181" s="181" t="n"/>
      <c r="AB181" s="181" t="n"/>
    </row>
    <row r="182">
      <c r="A182" s="181" t="n"/>
      <c r="B182" s="181" t="n"/>
      <c r="C182" s="181" t="n"/>
      <c r="D182" s="181" t="n"/>
      <c r="E182" s="181" t="n"/>
      <c r="F182" s="204" t="n"/>
      <c r="G182" s="204" t="n"/>
      <c r="H182" s="204" t="n"/>
      <c r="I182" s="204" t="n"/>
      <c r="J182" s="204" t="n"/>
      <c r="K182" s="181" t="n"/>
      <c r="L182" s="181" t="n"/>
      <c r="M182" s="181" t="n"/>
      <c r="N182" s="181" t="n"/>
      <c r="O182" s="181" t="n"/>
      <c r="P182" s="181" t="n"/>
      <c r="Q182" s="181" t="n"/>
      <c r="R182" s="181" t="n"/>
      <c r="S182" s="181" t="n"/>
      <c r="T182" s="181" t="n"/>
      <c r="U182" s="181" t="n"/>
      <c r="V182" s="181" t="n"/>
      <c r="W182" s="181" t="n"/>
      <c r="X182" s="181" t="n"/>
      <c r="Y182" s="181" t="n"/>
      <c r="Z182" s="181" t="n"/>
      <c r="AA182" s="181" t="n"/>
      <c r="AB182" s="181" t="n"/>
    </row>
    <row r="183">
      <c r="A183" s="181" t="n"/>
      <c r="B183" s="181" t="n"/>
      <c r="C183" s="181" t="n"/>
      <c r="D183" s="181" t="n"/>
      <c r="E183" s="181" t="n"/>
      <c r="F183" s="204" t="n"/>
      <c r="G183" s="204" t="n"/>
      <c r="H183" s="204" t="n"/>
      <c r="I183" s="204" t="n"/>
      <c r="J183" s="204" t="n"/>
      <c r="K183" s="181" t="n"/>
      <c r="L183" s="181" t="n"/>
      <c r="M183" s="181" t="n"/>
      <c r="N183" s="181" t="n"/>
      <c r="O183" s="181" t="n"/>
      <c r="P183" s="181" t="n"/>
      <c r="Q183" s="181" t="n"/>
      <c r="R183" s="181" t="n"/>
      <c r="S183" s="181" t="n"/>
      <c r="T183" s="181" t="n"/>
      <c r="U183" s="181" t="n"/>
      <c r="V183" s="181" t="n"/>
      <c r="W183" s="181" t="n"/>
      <c r="X183" s="181" t="n"/>
      <c r="Y183" s="181" t="n"/>
      <c r="Z183" s="181" t="n"/>
      <c r="AA183" s="181" t="n"/>
      <c r="AB183" s="181" t="n"/>
    </row>
    <row r="184">
      <c r="A184" s="181" t="n"/>
      <c r="B184" s="181" t="n"/>
      <c r="C184" s="181" t="n"/>
      <c r="D184" s="181" t="n"/>
      <c r="E184" s="181" t="n"/>
      <c r="F184" s="204" t="n"/>
      <c r="G184" s="204" t="n"/>
      <c r="H184" s="204" t="n"/>
      <c r="I184" s="204" t="n"/>
      <c r="J184" s="204" t="n"/>
      <c r="K184" s="181" t="n"/>
      <c r="L184" s="181" t="n"/>
      <c r="M184" s="181" t="n"/>
      <c r="N184" s="181" t="n"/>
      <c r="O184" s="181" t="n"/>
      <c r="P184" s="181" t="n"/>
      <c r="Q184" s="181" t="n"/>
      <c r="R184" s="181" t="n"/>
      <c r="S184" s="181" t="n"/>
      <c r="T184" s="181" t="n"/>
      <c r="U184" s="181" t="n"/>
      <c r="V184" s="181" t="n"/>
      <c r="W184" s="181" t="n"/>
      <c r="X184" s="181" t="n"/>
      <c r="Y184" s="181" t="n"/>
      <c r="Z184" s="181" t="n"/>
      <c r="AA184" s="181" t="n"/>
      <c r="AB184" s="181" t="n"/>
    </row>
    <row r="185">
      <c r="A185" s="181" t="n"/>
      <c r="B185" s="181" t="n"/>
      <c r="C185" s="181" t="n"/>
      <c r="D185" s="181" t="n"/>
      <c r="E185" s="181" t="n"/>
      <c r="F185" s="204" t="n"/>
      <c r="G185" s="204" t="n"/>
      <c r="H185" s="204" t="n"/>
      <c r="I185" s="204" t="n"/>
      <c r="J185" s="204" t="n"/>
      <c r="K185" s="181" t="n"/>
      <c r="L185" s="181" t="n"/>
      <c r="M185" s="181" t="n"/>
      <c r="N185" s="181" t="n"/>
      <c r="O185" s="181" t="n"/>
      <c r="P185" s="181" t="n"/>
      <c r="Q185" s="181" t="n"/>
      <c r="R185" s="181" t="n"/>
      <c r="S185" s="181" t="n"/>
      <c r="T185" s="181" t="n"/>
      <c r="U185" s="181" t="n"/>
      <c r="V185" s="181" t="n"/>
      <c r="W185" s="181" t="n"/>
      <c r="X185" s="181" t="n"/>
      <c r="Y185" s="181" t="n"/>
      <c r="Z185" s="181" t="n"/>
      <c r="AA185" s="181" t="n"/>
      <c r="AB185" s="181" t="n"/>
    </row>
    <row r="186">
      <c r="A186" s="181" t="n"/>
      <c r="B186" s="181" t="n"/>
      <c r="C186" s="181" t="n"/>
      <c r="D186" s="181" t="n"/>
      <c r="E186" s="181" t="n"/>
      <c r="F186" s="204" t="n"/>
      <c r="G186" s="204" t="n"/>
      <c r="H186" s="204" t="n"/>
      <c r="I186" s="204" t="n"/>
      <c r="J186" s="204" t="n"/>
      <c r="K186" s="181" t="n"/>
      <c r="L186" s="181" t="n"/>
      <c r="M186" s="181" t="n"/>
      <c r="N186" s="181" t="n"/>
      <c r="O186" s="181" t="n"/>
      <c r="P186" s="181" t="n"/>
      <c r="Q186" s="181" t="n"/>
      <c r="R186" s="181" t="n"/>
      <c r="S186" s="181" t="n"/>
      <c r="T186" s="181" t="n"/>
      <c r="U186" s="181" t="n"/>
      <c r="V186" s="181" t="n"/>
      <c r="W186" s="181" t="n"/>
      <c r="X186" s="181" t="n"/>
      <c r="Y186" s="181" t="n"/>
      <c r="Z186" s="181" t="n"/>
      <c r="AA186" s="181" t="n"/>
      <c r="AB186" s="181" t="n"/>
    </row>
    <row r="187">
      <c r="A187" s="181" t="n"/>
      <c r="B187" s="181" t="n"/>
      <c r="C187" s="181" t="n"/>
      <c r="D187" s="181" t="n"/>
      <c r="E187" s="181" t="n"/>
      <c r="F187" s="204" t="n"/>
      <c r="G187" s="204" t="n"/>
      <c r="H187" s="204" t="n"/>
      <c r="I187" s="204" t="n"/>
      <c r="J187" s="204" t="n"/>
      <c r="K187" s="181" t="n"/>
      <c r="L187" s="181" t="n"/>
      <c r="M187" s="181" t="n"/>
      <c r="N187" s="181" t="n"/>
      <c r="O187" s="181" t="n"/>
      <c r="P187" s="181" t="n"/>
      <c r="Q187" s="181" t="n"/>
      <c r="R187" s="181" t="n"/>
      <c r="S187" s="181" t="n"/>
      <c r="T187" s="181" t="n"/>
      <c r="U187" s="181" t="n"/>
      <c r="V187" s="181" t="n"/>
      <c r="W187" s="181" t="n"/>
      <c r="X187" s="181" t="n"/>
      <c r="Y187" s="181" t="n"/>
      <c r="Z187" s="181" t="n"/>
      <c r="AA187" s="181" t="n"/>
      <c r="AB187" s="181" t="n"/>
    </row>
    <row r="188">
      <c r="A188" s="181" t="n"/>
      <c r="B188" s="181" t="n"/>
      <c r="C188" s="181" t="n"/>
      <c r="D188" s="181" t="n"/>
      <c r="E188" s="181" t="n"/>
      <c r="F188" s="204" t="n"/>
      <c r="G188" s="204" t="n"/>
      <c r="H188" s="204" t="n"/>
      <c r="I188" s="204" t="n"/>
      <c r="J188" s="204" t="n"/>
      <c r="K188" s="181" t="n"/>
      <c r="L188" s="181" t="n"/>
      <c r="M188" s="181" t="n"/>
      <c r="N188" s="181" t="n"/>
      <c r="O188" s="181" t="n"/>
      <c r="P188" s="181" t="n"/>
      <c r="Q188" s="181" t="n"/>
      <c r="R188" s="181" t="n"/>
      <c r="S188" s="181" t="n"/>
      <c r="T188" s="181" t="n"/>
      <c r="U188" s="181" t="n"/>
      <c r="V188" s="181" t="n"/>
      <c r="W188" s="181" t="n"/>
      <c r="X188" s="181" t="n"/>
      <c r="Y188" s="181" t="n"/>
      <c r="Z188" s="181" t="n"/>
      <c r="AA188" s="181" t="n"/>
      <c r="AB188" s="181" t="n"/>
    </row>
    <row r="189">
      <c r="A189" s="181" t="n"/>
      <c r="B189" s="181" t="n"/>
      <c r="C189" s="181" t="n"/>
      <c r="D189" s="181" t="n"/>
      <c r="E189" s="181" t="n"/>
      <c r="F189" s="204" t="n"/>
      <c r="G189" s="204" t="n"/>
      <c r="H189" s="204" t="n"/>
      <c r="I189" s="204" t="n"/>
      <c r="J189" s="204" t="n"/>
      <c r="K189" s="181" t="n"/>
      <c r="L189" s="181" t="n"/>
      <c r="M189" s="181" t="n"/>
      <c r="N189" s="181" t="n"/>
      <c r="O189" s="181" t="n"/>
      <c r="P189" s="181" t="n"/>
      <c r="Q189" s="181" t="n"/>
      <c r="R189" s="181" t="n"/>
      <c r="S189" s="181" t="n"/>
      <c r="T189" s="181" t="n"/>
      <c r="U189" s="181" t="n"/>
      <c r="V189" s="181" t="n"/>
      <c r="W189" s="181" t="n"/>
      <c r="X189" s="181" t="n"/>
      <c r="Y189" s="181" t="n"/>
      <c r="Z189" s="181" t="n"/>
      <c r="AA189" s="181" t="n"/>
      <c r="AB189" s="181" t="n"/>
    </row>
    <row r="190">
      <c r="A190" s="181" t="n"/>
      <c r="B190" s="181" t="n"/>
      <c r="C190" s="181" t="n"/>
      <c r="D190" s="181" t="n"/>
      <c r="E190" s="181" t="n"/>
      <c r="F190" s="204" t="n"/>
      <c r="G190" s="204" t="n"/>
      <c r="H190" s="204" t="n"/>
      <c r="I190" s="204" t="n"/>
      <c r="J190" s="204" t="n"/>
      <c r="K190" s="181" t="n"/>
      <c r="L190" s="181" t="n"/>
      <c r="M190" s="181" t="n"/>
      <c r="N190" s="181" t="n"/>
      <c r="O190" s="181" t="n"/>
      <c r="P190" s="181" t="n"/>
      <c r="Q190" s="181" t="n"/>
      <c r="R190" s="181" t="n"/>
      <c r="S190" s="181" t="n"/>
      <c r="T190" s="181" t="n"/>
      <c r="U190" s="181" t="n"/>
      <c r="V190" s="181" t="n"/>
      <c r="W190" s="181" t="n"/>
      <c r="X190" s="181" t="n"/>
      <c r="Y190" s="181" t="n"/>
      <c r="Z190" s="181" t="n"/>
      <c r="AA190" s="181" t="n"/>
      <c r="AB190" s="181" t="n"/>
    </row>
    <row r="191">
      <c r="A191" s="181" t="n"/>
      <c r="B191" s="181" t="n"/>
      <c r="C191" s="181" t="n"/>
      <c r="D191" s="181" t="n"/>
      <c r="E191" s="181" t="n"/>
      <c r="F191" s="204" t="n"/>
      <c r="G191" s="204" t="n"/>
      <c r="H191" s="204" t="n"/>
      <c r="I191" s="204" t="n"/>
      <c r="J191" s="204" t="n"/>
      <c r="K191" s="181" t="n"/>
      <c r="L191" s="181" t="n"/>
      <c r="M191" s="181" t="n"/>
      <c r="N191" s="181" t="n"/>
      <c r="O191" s="181" t="n"/>
      <c r="P191" s="181" t="n"/>
      <c r="Q191" s="181" t="n"/>
      <c r="R191" s="181" t="n"/>
      <c r="S191" s="181" t="n"/>
      <c r="T191" s="181" t="n"/>
      <c r="U191" s="181" t="n"/>
      <c r="V191" s="181" t="n"/>
      <c r="W191" s="181" t="n"/>
      <c r="X191" s="181" t="n"/>
      <c r="Y191" s="181" t="n"/>
      <c r="Z191" s="181" t="n"/>
      <c r="AA191" s="181" t="n"/>
      <c r="AB191" s="181" t="n"/>
    </row>
    <row r="192">
      <c r="A192" s="181" t="n"/>
      <c r="B192" s="181" t="n"/>
      <c r="C192" s="181" t="n"/>
      <c r="D192" s="181" t="n"/>
      <c r="E192" s="181" t="n"/>
      <c r="F192" s="204" t="n"/>
      <c r="G192" s="204" t="n"/>
      <c r="H192" s="204" t="n"/>
      <c r="I192" s="204" t="n"/>
      <c r="J192" s="204" t="n"/>
      <c r="K192" s="181" t="n"/>
      <c r="L192" s="181" t="n"/>
      <c r="M192" s="181" t="n"/>
      <c r="N192" s="181" t="n"/>
      <c r="O192" s="181" t="n"/>
      <c r="P192" s="181" t="n"/>
      <c r="Q192" s="181" t="n"/>
      <c r="R192" s="181" t="n"/>
      <c r="S192" s="181" t="n"/>
      <c r="T192" s="181" t="n"/>
      <c r="U192" s="181" t="n"/>
      <c r="V192" s="181" t="n"/>
      <c r="W192" s="181" t="n"/>
      <c r="X192" s="181" t="n"/>
      <c r="Y192" s="181" t="n"/>
      <c r="Z192" s="181" t="n"/>
      <c r="AA192" s="181" t="n"/>
      <c r="AB192" s="181" t="n"/>
    </row>
    <row r="193">
      <c r="A193" s="181" t="n"/>
      <c r="B193" s="181" t="n"/>
      <c r="C193" s="181" t="n"/>
      <c r="D193" s="181" t="n"/>
      <c r="E193" s="181" t="n"/>
      <c r="F193" s="204" t="n"/>
      <c r="G193" s="204" t="n"/>
      <c r="H193" s="204" t="n"/>
      <c r="I193" s="204" t="n"/>
      <c r="J193" s="204" t="n"/>
      <c r="K193" s="181" t="n"/>
      <c r="L193" s="181" t="n"/>
      <c r="M193" s="181" t="n"/>
      <c r="N193" s="181" t="n"/>
      <c r="O193" s="181" t="n"/>
      <c r="P193" s="181" t="n"/>
      <c r="Q193" s="181" t="n"/>
      <c r="R193" s="181" t="n"/>
      <c r="S193" s="181" t="n"/>
      <c r="T193" s="181" t="n"/>
      <c r="U193" s="181" t="n"/>
      <c r="V193" s="181" t="n"/>
      <c r="W193" s="181" t="n"/>
      <c r="X193" s="181" t="n"/>
      <c r="Y193" s="181" t="n"/>
      <c r="Z193" s="181" t="n"/>
      <c r="AA193" s="181" t="n"/>
      <c r="AB193" s="181" t="n"/>
    </row>
    <row r="194">
      <c r="A194" s="181" t="n"/>
      <c r="B194" s="181" t="n"/>
      <c r="C194" s="181" t="n"/>
      <c r="D194" s="181" t="n"/>
      <c r="E194" s="181" t="n"/>
      <c r="F194" s="204" t="n"/>
      <c r="G194" s="204" t="n"/>
      <c r="H194" s="204" t="n"/>
      <c r="I194" s="204" t="n"/>
      <c r="J194" s="204" t="n"/>
      <c r="K194" s="181" t="n"/>
      <c r="L194" s="181" t="n"/>
      <c r="M194" s="181" t="n"/>
      <c r="N194" s="181" t="n"/>
      <c r="O194" s="181" t="n"/>
      <c r="P194" s="181" t="n"/>
      <c r="Q194" s="181" t="n"/>
      <c r="R194" s="181" t="n"/>
      <c r="S194" s="181" t="n"/>
      <c r="T194" s="181" t="n"/>
      <c r="U194" s="181" t="n"/>
      <c r="V194" s="181" t="n"/>
      <c r="W194" s="181" t="n"/>
      <c r="X194" s="181" t="n"/>
      <c r="Y194" s="181" t="n"/>
      <c r="Z194" s="181" t="n"/>
      <c r="AA194" s="181" t="n"/>
      <c r="AB194" s="181" t="n"/>
    </row>
    <row r="195">
      <c r="A195" s="181" t="n"/>
      <c r="B195" s="181" t="n"/>
      <c r="C195" s="181" t="n"/>
      <c r="D195" s="181" t="n"/>
      <c r="E195" s="181" t="n"/>
      <c r="F195" s="204" t="n"/>
      <c r="G195" s="204" t="n"/>
      <c r="H195" s="204" t="n"/>
      <c r="I195" s="204" t="n"/>
      <c r="J195" s="204" t="n"/>
      <c r="K195" s="181" t="n"/>
      <c r="L195" s="181" t="n"/>
      <c r="M195" s="181" t="n"/>
      <c r="N195" s="181" t="n"/>
      <c r="O195" s="181" t="n"/>
      <c r="P195" s="181" t="n"/>
      <c r="Q195" s="181" t="n"/>
      <c r="R195" s="181" t="n"/>
      <c r="S195" s="181" t="n"/>
      <c r="T195" s="181" t="n"/>
      <c r="U195" s="181" t="n"/>
      <c r="V195" s="181" t="n"/>
      <c r="W195" s="181" t="n"/>
      <c r="X195" s="181" t="n"/>
      <c r="Y195" s="181" t="n"/>
      <c r="Z195" s="181" t="n"/>
      <c r="AA195" s="181" t="n"/>
      <c r="AB195" s="181" t="n"/>
    </row>
    <row r="196">
      <c r="A196" s="181" t="n"/>
      <c r="B196" s="181" t="n"/>
      <c r="C196" s="181" t="n"/>
      <c r="D196" s="181" t="n"/>
      <c r="E196" s="181" t="n"/>
      <c r="F196" s="204" t="n"/>
      <c r="G196" s="204" t="n"/>
      <c r="H196" s="204" t="n"/>
      <c r="I196" s="204" t="n"/>
      <c r="J196" s="204" t="n"/>
      <c r="K196" s="181" t="n"/>
      <c r="L196" s="181" t="n"/>
      <c r="M196" s="181" t="n"/>
      <c r="N196" s="181" t="n"/>
      <c r="O196" s="181" t="n"/>
      <c r="P196" s="181" t="n"/>
      <c r="Q196" s="181" t="n"/>
      <c r="R196" s="181" t="n"/>
      <c r="S196" s="181" t="n"/>
      <c r="T196" s="181" t="n"/>
      <c r="U196" s="181" t="n"/>
      <c r="V196" s="181" t="n"/>
      <c r="W196" s="181" t="n"/>
      <c r="X196" s="181" t="n"/>
      <c r="Y196" s="181" t="n"/>
      <c r="Z196" s="181" t="n"/>
      <c r="AA196" s="181" t="n"/>
      <c r="AB196" s="181" t="n"/>
    </row>
    <row r="197">
      <c r="A197" s="181" t="n"/>
      <c r="B197" s="181" t="n"/>
      <c r="C197" s="181" t="n"/>
      <c r="D197" s="181" t="n"/>
      <c r="E197" s="181" t="n"/>
      <c r="F197" s="204" t="n"/>
      <c r="G197" s="204" t="n"/>
      <c r="H197" s="204" t="n"/>
      <c r="I197" s="204" t="n"/>
      <c r="J197" s="204" t="n"/>
      <c r="K197" s="181" t="n"/>
      <c r="L197" s="181" t="n"/>
      <c r="M197" s="181" t="n"/>
      <c r="N197" s="181" t="n"/>
      <c r="O197" s="181" t="n"/>
      <c r="P197" s="181" t="n"/>
      <c r="Q197" s="181" t="n"/>
      <c r="R197" s="181" t="n"/>
      <c r="S197" s="181" t="n"/>
      <c r="T197" s="181" t="n"/>
      <c r="U197" s="181" t="n"/>
      <c r="V197" s="181" t="n"/>
      <c r="W197" s="181" t="n"/>
      <c r="X197" s="181" t="n"/>
      <c r="Y197" s="181" t="n"/>
      <c r="Z197" s="181" t="n"/>
      <c r="AA197" s="181" t="n"/>
      <c r="AB197" s="181" t="n"/>
    </row>
    <row r="198">
      <c r="A198" s="181" t="n"/>
      <c r="B198" s="181" t="n"/>
      <c r="C198" s="181" t="n"/>
      <c r="D198" s="181" t="n"/>
      <c r="E198" s="181" t="n"/>
      <c r="F198" s="204" t="n"/>
      <c r="G198" s="204" t="n"/>
      <c r="H198" s="204" t="n"/>
      <c r="I198" s="204" t="n"/>
      <c r="J198" s="204" t="n"/>
      <c r="K198" s="181" t="n"/>
      <c r="L198" s="181" t="n"/>
      <c r="M198" s="181" t="n"/>
      <c r="N198" s="181" t="n"/>
      <c r="O198" s="181" t="n"/>
      <c r="P198" s="181" t="n"/>
      <c r="Q198" s="181" t="n"/>
      <c r="R198" s="181" t="n"/>
      <c r="S198" s="181" t="n"/>
      <c r="T198" s="181" t="n"/>
      <c r="U198" s="181" t="n"/>
      <c r="V198" s="181" t="n"/>
      <c r="W198" s="181" t="n"/>
      <c r="X198" s="181" t="n"/>
      <c r="Y198" s="181" t="n"/>
      <c r="Z198" s="181" t="n"/>
      <c r="AA198" s="181" t="n"/>
      <c r="AB198" s="181" t="n"/>
    </row>
    <row r="199">
      <c r="A199" s="181" t="n"/>
      <c r="B199" s="181" t="n"/>
      <c r="C199" s="181" t="n"/>
      <c r="D199" s="181" t="n"/>
      <c r="E199" s="181" t="n"/>
      <c r="F199" s="204" t="n"/>
      <c r="G199" s="204" t="n"/>
      <c r="H199" s="204" t="n"/>
      <c r="I199" s="204" t="n"/>
      <c r="J199" s="204" t="n"/>
      <c r="K199" s="181" t="n"/>
      <c r="L199" s="181" t="n"/>
      <c r="M199" s="181" t="n"/>
      <c r="N199" s="181" t="n"/>
      <c r="O199" s="181" t="n"/>
      <c r="P199" s="181" t="n"/>
      <c r="Q199" s="181" t="n"/>
      <c r="R199" s="181" t="n"/>
      <c r="S199" s="181" t="n"/>
      <c r="T199" s="181" t="n"/>
      <c r="U199" s="181" t="n"/>
      <c r="V199" s="181" t="n"/>
      <c r="W199" s="181" t="n"/>
      <c r="X199" s="181" t="n"/>
      <c r="Y199" s="181" t="n"/>
      <c r="Z199" s="181" t="n"/>
      <c r="AA199" s="181" t="n"/>
      <c r="AB199" s="181" t="n"/>
    </row>
    <row r="200">
      <c r="A200" s="181" t="n"/>
      <c r="B200" s="181" t="n"/>
      <c r="C200" s="181" t="n"/>
      <c r="D200" s="181" t="n"/>
      <c r="E200" s="181" t="n"/>
      <c r="F200" s="204" t="n"/>
      <c r="G200" s="204" t="n"/>
      <c r="H200" s="204" t="n"/>
      <c r="I200" s="204" t="n"/>
      <c r="J200" s="204" t="n"/>
      <c r="K200" s="181" t="n"/>
      <c r="L200" s="181" t="n"/>
      <c r="M200" s="181" t="n"/>
      <c r="N200" s="181" t="n"/>
      <c r="O200" s="181" t="n"/>
      <c r="P200" s="181" t="n"/>
      <c r="Q200" s="181" t="n"/>
      <c r="R200" s="181" t="n"/>
      <c r="S200" s="181" t="n"/>
      <c r="T200" s="181" t="n"/>
      <c r="U200" s="181" t="n"/>
      <c r="V200" s="181" t="n"/>
      <c r="W200" s="181" t="n"/>
      <c r="X200" s="181" t="n"/>
      <c r="Y200" s="181" t="n"/>
      <c r="Z200" s="181" t="n"/>
      <c r="AA200" s="181" t="n"/>
      <c r="AB200" s="181" t="n"/>
    </row>
    <row r="201">
      <c r="A201" s="181" t="n"/>
      <c r="B201" s="181" t="n"/>
      <c r="C201" s="181" t="n"/>
      <c r="D201" s="181" t="n"/>
      <c r="E201" s="181" t="n"/>
      <c r="F201" s="204" t="n"/>
      <c r="G201" s="204" t="n"/>
      <c r="H201" s="204" t="n"/>
      <c r="I201" s="204" t="n"/>
      <c r="J201" s="204" t="n"/>
      <c r="K201" s="181" t="n"/>
      <c r="L201" s="181" t="n"/>
      <c r="M201" s="181" t="n"/>
      <c r="N201" s="181" t="n"/>
      <c r="O201" s="181" t="n"/>
      <c r="P201" s="181" t="n"/>
      <c r="Q201" s="181" t="n"/>
      <c r="R201" s="181" t="n"/>
      <c r="S201" s="181" t="n"/>
      <c r="T201" s="181" t="n"/>
      <c r="U201" s="181" t="n"/>
      <c r="V201" s="181" t="n"/>
      <c r="W201" s="181" t="n"/>
      <c r="X201" s="181" t="n"/>
      <c r="Y201" s="181" t="n"/>
      <c r="Z201" s="181" t="n"/>
      <c r="AA201" s="181" t="n"/>
      <c r="AB201" s="181" t="n"/>
    </row>
    <row r="202">
      <c r="A202" s="181" t="n"/>
      <c r="B202" s="181" t="n"/>
      <c r="C202" s="181" t="n"/>
      <c r="D202" s="181" t="n"/>
      <c r="E202" s="181" t="n"/>
      <c r="F202" s="204" t="n"/>
      <c r="G202" s="204" t="n"/>
      <c r="H202" s="204" t="n"/>
      <c r="I202" s="204" t="n"/>
      <c r="J202" s="204" t="n"/>
      <c r="K202" s="181" t="n"/>
      <c r="L202" s="181" t="n"/>
      <c r="M202" s="181" t="n"/>
      <c r="N202" s="181" t="n"/>
      <c r="O202" s="181" t="n"/>
      <c r="P202" s="181" t="n"/>
      <c r="Q202" s="181" t="n"/>
      <c r="R202" s="181" t="n"/>
      <c r="S202" s="181" t="n"/>
      <c r="T202" s="181" t="n"/>
      <c r="U202" s="181" t="n"/>
      <c r="V202" s="181" t="n"/>
      <c r="W202" s="181" t="n"/>
      <c r="X202" s="181" t="n"/>
      <c r="Y202" s="181" t="n"/>
      <c r="Z202" s="181" t="n"/>
      <c r="AA202" s="181" t="n"/>
      <c r="AB202" s="181" t="n"/>
    </row>
    <row r="203">
      <c r="A203" s="181" t="n"/>
      <c r="B203" s="181" t="n"/>
      <c r="C203" s="181" t="n"/>
      <c r="D203" s="181" t="n"/>
      <c r="E203" s="181" t="n"/>
      <c r="F203" s="204" t="n"/>
      <c r="G203" s="204" t="n"/>
      <c r="H203" s="204" t="n"/>
      <c r="I203" s="204" t="n"/>
      <c r="J203" s="204" t="n"/>
      <c r="K203" s="181" t="n"/>
      <c r="L203" s="181" t="n"/>
      <c r="M203" s="181" t="n"/>
      <c r="N203" s="181" t="n"/>
      <c r="O203" s="181" t="n"/>
      <c r="P203" s="181" t="n"/>
      <c r="Q203" s="181" t="n"/>
      <c r="R203" s="181" t="n"/>
      <c r="S203" s="181" t="n"/>
      <c r="T203" s="181" t="n"/>
      <c r="U203" s="181" t="n"/>
      <c r="V203" s="181" t="n"/>
      <c r="W203" s="181" t="n"/>
      <c r="X203" s="181" t="n"/>
      <c r="Y203" s="181" t="n"/>
      <c r="Z203" s="181" t="n"/>
      <c r="AA203" s="181" t="n"/>
      <c r="AB203" s="181" t="n"/>
    </row>
    <row r="204">
      <c r="A204" s="181" t="n"/>
      <c r="B204" s="181" t="n"/>
      <c r="C204" s="181" t="n"/>
      <c r="D204" s="181" t="n"/>
      <c r="E204" s="181" t="n"/>
      <c r="F204" s="204" t="n"/>
      <c r="G204" s="204" t="n"/>
      <c r="H204" s="204" t="n"/>
      <c r="I204" s="204" t="n"/>
      <c r="J204" s="204" t="n"/>
      <c r="K204" s="181" t="n"/>
      <c r="L204" s="181" t="n"/>
      <c r="M204" s="181" t="n"/>
      <c r="N204" s="181" t="n"/>
      <c r="O204" s="181" t="n"/>
      <c r="P204" s="181" t="n"/>
      <c r="Q204" s="181" t="n"/>
      <c r="R204" s="181" t="n"/>
      <c r="S204" s="181" t="n"/>
      <c r="T204" s="181" t="n"/>
      <c r="U204" s="181" t="n"/>
      <c r="V204" s="181" t="n"/>
      <c r="W204" s="181" t="n"/>
      <c r="X204" s="181" t="n"/>
      <c r="Y204" s="181" t="n"/>
      <c r="Z204" s="181" t="n"/>
      <c r="AA204" s="181" t="n"/>
      <c r="AB204" s="181" t="n"/>
    </row>
    <row r="205">
      <c r="A205" s="181" t="n"/>
      <c r="B205" s="181" t="n"/>
      <c r="C205" s="181" t="n"/>
      <c r="D205" s="181" t="n"/>
      <c r="E205" s="181" t="n"/>
      <c r="F205" s="204" t="n"/>
      <c r="G205" s="204" t="n"/>
      <c r="H205" s="204" t="n"/>
      <c r="I205" s="204" t="n"/>
      <c r="J205" s="204" t="n"/>
      <c r="K205" s="181" t="n"/>
      <c r="L205" s="181" t="n"/>
      <c r="M205" s="181" t="n"/>
      <c r="N205" s="181" t="n"/>
      <c r="O205" s="181" t="n"/>
      <c r="P205" s="181" t="n"/>
      <c r="Q205" s="181" t="n"/>
      <c r="R205" s="181" t="n"/>
      <c r="S205" s="181" t="n"/>
      <c r="T205" s="181" t="n"/>
      <c r="U205" s="181" t="n"/>
      <c r="V205" s="181" t="n"/>
      <c r="W205" s="181" t="n"/>
      <c r="X205" s="181" t="n"/>
      <c r="Y205" s="181" t="n"/>
      <c r="Z205" s="181" t="n"/>
      <c r="AA205" s="181" t="n"/>
      <c r="AB205" s="181" t="n"/>
    </row>
    <row r="206">
      <c r="A206" s="181" t="n"/>
      <c r="B206" s="181" t="n"/>
      <c r="C206" s="181" t="n"/>
      <c r="D206" s="181" t="n"/>
      <c r="E206" s="181" t="n"/>
      <c r="F206" s="204" t="n"/>
      <c r="G206" s="204" t="n"/>
      <c r="H206" s="204" t="n"/>
      <c r="I206" s="204" t="n"/>
      <c r="J206" s="204" t="n"/>
      <c r="K206" s="181" t="n"/>
      <c r="L206" s="181" t="n"/>
      <c r="M206" s="181" t="n"/>
      <c r="N206" s="181" t="n"/>
      <c r="O206" s="181" t="n"/>
      <c r="P206" s="181" t="n"/>
      <c r="Q206" s="181" t="n"/>
      <c r="R206" s="181" t="n"/>
      <c r="S206" s="181" t="n"/>
      <c r="T206" s="181" t="n"/>
      <c r="U206" s="181" t="n"/>
      <c r="V206" s="181" t="n"/>
      <c r="W206" s="181" t="n"/>
      <c r="X206" s="181" t="n"/>
      <c r="Y206" s="181" t="n"/>
      <c r="Z206" s="181" t="n"/>
      <c r="AA206" s="181" t="n"/>
      <c r="AB206" s="181" t="n"/>
    </row>
    <row r="207">
      <c r="A207" s="181" t="n"/>
      <c r="B207" s="181" t="n"/>
      <c r="C207" s="181" t="n"/>
      <c r="D207" s="181" t="n"/>
      <c r="E207" s="181" t="n"/>
      <c r="F207" s="204" t="n"/>
      <c r="G207" s="204" t="n"/>
      <c r="H207" s="204" t="n"/>
      <c r="I207" s="204" t="n"/>
      <c r="J207" s="204" t="n"/>
      <c r="K207" s="181" t="n"/>
      <c r="L207" s="181" t="n"/>
      <c r="M207" s="181" t="n"/>
      <c r="N207" s="181" t="n"/>
      <c r="O207" s="181" t="n"/>
      <c r="P207" s="181" t="n"/>
      <c r="Q207" s="181" t="n"/>
      <c r="R207" s="181" t="n"/>
      <c r="S207" s="181" t="n"/>
      <c r="T207" s="181" t="n"/>
      <c r="U207" s="181" t="n"/>
      <c r="V207" s="181" t="n"/>
      <c r="W207" s="181" t="n"/>
      <c r="X207" s="181" t="n"/>
      <c r="Y207" s="181" t="n"/>
      <c r="Z207" s="181" t="n"/>
      <c r="AA207" s="181" t="n"/>
      <c r="AB207" s="181" t="n"/>
    </row>
    <row r="208">
      <c r="A208" s="181" t="n"/>
      <c r="B208" s="181" t="n"/>
      <c r="C208" s="181" t="n"/>
      <c r="D208" s="181" t="n"/>
      <c r="E208" s="181" t="n"/>
      <c r="F208" s="204" t="n"/>
      <c r="G208" s="204" t="n"/>
      <c r="H208" s="204" t="n"/>
      <c r="I208" s="204" t="n"/>
      <c r="J208" s="204" t="n"/>
      <c r="K208" s="181" t="n"/>
      <c r="L208" s="181" t="n"/>
      <c r="M208" s="181" t="n"/>
      <c r="N208" s="181" t="n"/>
      <c r="O208" s="181" t="n"/>
      <c r="P208" s="181" t="n"/>
      <c r="Q208" s="181" t="n"/>
      <c r="R208" s="181" t="n"/>
      <c r="S208" s="181" t="n"/>
      <c r="T208" s="181" t="n"/>
      <c r="U208" s="181" t="n"/>
      <c r="V208" s="181" t="n"/>
      <c r="W208" s="181" t="n"/>
      <c r="X208" s="181" t="n"/>
      <c r="Y208" s="181" t="n"/>
      <c r="Z208" s="181" t="n"/>
      <c r="AA208" s="181" t="n"/>
      <c r="AB208" s="181" t="n"/>
    </row>
    <row r="209">
      <c r="A209" s="181" t="n"/>
      <c r="B209" s="181" t="n"/>
      <c r="C209" s="181" t="n"/>
      <c r="D209" s="181" t="n"/>
      <c r="E209" s="181" t="n"/>
      <c r="F209" s="204" t="n"/>
      <c r="G209" s="204" t="n"/>
      <c r="H209" s="204" t="n"/>
      <c r="I209" s="204" t="n"/>
      <c r="J209" s="204" t="n"/>
      <c r="K209" s="181" t="n"/>
      <c r="L209" s="181" t="n"/>
      <c r="M209" s="181" t="n"/>
      <c r="N209" s="181" t="n"/>
      <c r="O209" s="181" t="n"/>
      <c r="P209" s="181" t="n"/>
      <c r="Q209" s="181" t="n"/>
      <c r="R209" s="181" t="n"/>
      <c r="S209" s="181" t="n"/>
      <c r="T209" s="181" t="n"/>
      <c r="U209" s="181" t="n"/>
      <c r="V209" s="181" t="n"/>
      <c r="W209" s="181" t="n"/>
      <c r="X209" s="181" t="n"/>
      <c r="Y209" s="181" t="n"/>
      <c r="Z209" s="181" t="n"/>
      <c r="AA209" s="181" t="n"/>
      <c r="AB209" s="181" t="n"/>
    </row>
    <row r="210">
      <c r="A210" s="181" t="n"/>
      <c r="B210" s="181" t="n"/>
      <c r="C210" s="181" t="n"/>
      <c r="D210" s="181" t="n"/>
      <c r="E210" s="181" t="n"/>
      <c r="F210" s="204" t="n"/>
      <c r="G210" s="204" t="n"/>
      <c r="H210" s="204" t="n"/>
      <c r="I210" s="204" t="n"/>
      <c r="J210" s="204" t="n"/>
      <c r="K210" s="181" t="n"/>
      <c r="L210" s="181" t="n"/>
      <c r="M210" s="181" t="n"/>
      <c r="N210" s="181" t="n"/>
      <c r="O210" s="181" t="n"/>
      <c r="P210" s="181" t="n"/>
      <c r="Q210" s="181" t="n"/>
      <c r="R210" s="181" t="n"/>
      <c r="S210" s="181" t="n"/>
      <c r="T210" s="181" t="n"/>
      <c r="U210" s="181" t="n"/>
      <c r="V210" s="181" t="n"/>
      <c r="W210" s="181" t="n"/>
      <c r="X210" s="181" t="n"/>
      <c r="Y210" s="181" t="n"/>
      <c r="Z210" s="181" t="n"/>
      <c r="AA210" s="181" t="n"/>
      <c r="AB210" s="181" t="n"/>
    </row>
    <row r="211">
      <c r="A211" s="181" t="n"/>
      <c r="B211" s="181" t="n"/>
      <c r="C211" s="181" t="n"/>
      <c r="D211" s="181" t="n"/>
      <c r="E211" s="181" t="n"/>
      <c r="F211" s="204" t="n"/>
      <c r="G211" s="204" t="n"/>
      <c r="H211" s="204" t="n"/>
      <c r="I211" s="204" t="n"/>
      <c r="J211" s="204" t="n"/>
      <c r="K211" s="181" t="n"/>
      <c r="L211" s="181" t="n"/>
      <c r="M211" s="181" t="n"/>
      <c r="N211" s="181" t="n"/>
      <c r="O211" s="181" t="n"/>
      <c r="P211" s="181" t="n"/>
      <c r="Q211" s="181" t="n"/>
      <c r="R211" s="181" t="n"/>
      <c r="S211" s="181" t="n"/>
      <c r="T211" s="181" t="n"/>
      <c r="U211" s="181" t="n"/>
      <c r="V211" s="181" t="n"/>
      <c r="W211" s="181" t="n"/>
      <c r="X211" s="181" t="n"/>
      <c r="Y211" s="181" t="n"/>
      <c r="Z211" s="181" t="n"/>
      <c r="AA211" s="181" t="n"/>
      <c r="AB211" s="181" t="n"/>
    </row>
    <row r="212">
      <c r="A212" s="181" t="n"/>
      <c r="B212" s="181" t="n"/>
      <c r="C212" s="181" t="n"/>
      <c r="D212" s="181" t="n"/>
      <c r="E212" s="181" t="n"/>
      <c r="F212" s="204" t="n"/>
      <c r="G212" s="204" t="n"/>
      <c r="H212" s="204" t="n"/>
      <c r="I212" s="204" t="n"/>
      <c r="J212" s="204" t="n"/>
      <c r="K212" s="181" t="n"/>
      <c r="L212" s="181" t="n"/>
      <c r="M212" s="181" t="n"/>
      <c r="N212" s="181" t="n"/>
      <c r="O212" s="181" t="n"/>
      <c r="P212" s="181" t="n"/>
      <c r="Q212" s="181" t="n"/>
      <c r="R212" s="181" t="n"/>
      <c r="S212" s="181" t="n"/>
      <c r="T212" s="181" t="n"/>
      <c r="U212" s="181" t="n"/>
      <c r="V212" s="181" t="n"/>
      <c r="W212" s="181" t="n"/>
      <c r="X212" s="181" t="n"/>
      <c r="Y212" s="181" t="n"/>
      <c r="Z212" s="181" t="n"/>
      <c r="AA212" s="181" t="n"/>
      <c r="AB212" s="181" t="n"/>
    </row>
    <row r="213">
      <c r="A213" s="181" t="n"/>
      <c r="B213" s="181" t="n"/>
      <c r="C213" s="181" t="n"/>
      <c r="D213" s="181" t="n"/>
      <c r="E213" s="181" t="n"/>
      <c r="F213" s="204" t="n"/>
      <c r="G213" s="204" t="n"/>
      <c r="H213" s="204" t="n"/>
      <c r="I213" s="204" t="n"/>
      <c r="J213" s="204" t="n"/>
      <c r="K213" s="181" t="n"/>
      <c r="L213" s="181" t="n"/>
      <c r="M213" s="181" t="n"/>
      <c r="N213" s="181" t="n"/>
      <c r="O213" s="181" t="n"/>
      <c r="P213" s="181" t="n"/>
      <c r="Q213" s="181" t="n"/>
      <c r="R213" s="181" t="n"/>
      <c r="S213" s="181" t="n"/>
      <c r="T213" s="181" t="n"/>
      <c r="U213" s="181" t="n"/>
      <c r="V213" s="181" t="n"/>
      <c r="W213" s="181" t="n"/>
      <c r="X213" s="181" t="n"/>
      <c r="Y213" s="181" t="n"/>
      <c r="Z213" s="181" t="n"/>
      <c r="AA213" s="181" t="n"/>
      <c r="AB213" s="181" t="n"/>
    </row>
    <row r="214">
      <c r="A214" s="181" t="n"/>
      <c r="B214" s="181" t="n"/>
      <c r="C214" s="181" t="n"/>
      <c r="D214" s="181" t="n"/>
      <c r="E214" s="181" t="n"/>
      <c r="F214" s="204" t="n"/>
      <c r="G214" s="204" t="n"/>
      <c r="H214" s="204" t="n"/>
      <c r="I214" s="204" t="n"/>
      <c r="J214" s="204" t="n"/>
      <c r="K214" s="181" t="n"/>
      <c r="L214" s="181" t="n"/>
      <c r="M214" s="181" t="n"/>
      <c r="N214" s="181" t="n"/>
      <c r="O214" s="181" t="n"/>
      <c r="P214" s="181" t="n"/>
      <c r="Q214" s="181" t="n"/>
      <c r="R214" s="181" t="n"/>
      <c r="S214" s="181" t="n"/>
      <c r="T214" s="181" t="n"/>
      <c r="U214" s="181" t="n"/>
      <c r="V214" s="181" t="n"/>
      <c r="W214" s="181" t="n"/>
      <c r="X214" s="181" t="n"/>
      <c r="Y214" s="181" t="n"/>
      <c r="Z214" s="181" t="n"/>
      <c r="AA214" s="181" t="n"/>
      <c r="AB214" s="181" t="n"/>
    </row>
    <row r="215">
      <c r="A215" s="181" t="n"/>
      <c r="B215" s="181" t="n"/>
      <c r="C215" s="181" t="n"/>
      <c r="D215" s="181" t="n"/>
      <c r="E215" s="181" t="n"/>
      <c r="F215" s="204" t="n"/>
      <c r="G215" s="204" t="n"/>
      <c r="H215" s="204" t="n"/>
      <c r="I215" s="204" t="n"/>
      <c r="J215" s="204" t="n"/>
      <c r="K215" s="181" t="n"/>
      <c r="L215" s="181" t="n"/>
      <c r="M215" s="181" t="n"/>
      <c r="N215" s="181" t="n"/>
      <c r="O215" s="181" t="n"/>
      <c r="P215" s="181" t="n"/>
      <c r="Q215" s="181" t="n"/>
      <c r="R215" s="181" t="n"/>
      <c r="S215" s="181" t="n"/>
      <c r="T215" s="181" t="n"/>
      <c r="U215" s="181" t="n"/>
      <c r="V215" s="181" t="n"/>
      <c r="W215" s="181" t="n"/>
      <c r="X215" s="181" t="n"/>
      <c r="Y215" s="181" t="n"/>
      <c r="Z215" s="181" t="n"/>
      <c r="AA215" s="181" t="n"/>
      <c r="AB215" s="181" t="n"/>
    </row>
    <row r="216">
      <c r="A216" s="181" t="n"/>
      <c r="B216" s="181" t="n"/>
      <c r="C216" s="181" t="n"/>
      <c r="D216" s="181" t="n"/>
      <c r="E216" s="181" t="n"/>
      <c r="F216" s="204" t="n"/>
      <c r="G216" s="204" t="n"/>
      <c r="H216" s="204" t="n"/>
      <c r="I216" s="204" t="n"/>
      <c r="J216" s="204" t="n"/>
      <c r="K216" s="181" t="n"/>
      <c r="L216" s="181" t="n"/>
      <c r="M216" s="181" t="n"/>
      <c r="N216" s="181" t="n"/>
      <c r="O216" s="181" t="n"/>
      <c r="P216" s="181" t="n"/>
      <c r="Q216" s="181" t="n"/>
      <c r="R216" s="181" t="n"/>
      <c r="S216" s="181" t="n"/>
      <c r="T216" s="181" t="n"/>
      <c r="U216" s="181" t="n"/>
      <c r="V216" s="181" t="n"/>
      <c r="W216" s="181" t="n"/>
      <c r="X216" s="181" t="n"/>
      <c r="Y216" s="181" t="n"/>
      <c r="Z216" s="181" t="n"/>
      <c r="AA216" s="181" t="n"/>
      <c r="AB216" s="181" t="n"/>
    </row>
    <row r="217">
      <c r="A217" s="181" t="n"/>
      <c r="B217" s="181" t="n"/>
      <c r="C217" s="181" t="n"/>
      <c r="D217" s="181" t="n"/>
      <c r="E217" s="181" t="n"/>
      <c r="F217" s="204" t="n"/>
      <c r="G217" s="204" t="n"/>
      <c r="H217" s="204" t="n"/>
      <c r="I217" s="204" t="n"/>
      <c r="J217" s="204" t="n"/>
      <c r="K217" s="181" t="n"/>
      <c r="L217" s="181" t="n"/>
      <c r="M217" s="181" t="n"/>
      <c r="N217" s="181" t="n"/>
      <c r="O217" s="181" t="n"/>
      <c r="P217" s="181" t="n"/>
      <c r="Q217" s="181" t="n"/>
      <c r="R217" s="181" t="n"/>
      <c r="S217" s="181" t="n"/>
      <c r="T217" s="181" t="n"/>
      <c r="U217" s="181" t="n"/>
      <c r="V217" s="181" t="n"/>
      <c r="W217" s="181" t="n"/>
      <c r="X217" s="181" t="n"/>
      <c r="Y217" s="181" t="n"/>
      <c r="Z217" s="181" t="n"/>
      <c r="AA217" s="181" t="n"/>
      <c r="AB217" s="181" t="n"/>
    </row>
    <row r="218">
      <c r="A218" s="181" t="n"/>
      <c r="B218" s="181" t="n"/>
      <c r="C218" s="181" t="n"/>
      <c r="D218" s="181" t="n"/>
      <c r="E218" s="181" t="n"/>
      <c r="F218" s="204" t="n"/>
      <c r="G218" s="204" t="n"/>
      <c r="H218" s="204" t="n"/>
      <c r="I218" s="204" t="n"/>
      <c r="J218" s="204" t="n"/>
      <c r="K218" s="181" t="n"/>
      <c r="L218" s="181" t="n"/>
      <c r="M218" s="181" t="n"/>
      <c r="N218" s="181" t="n"/>
      <c r="O218" s="181" t="n"/>
      <c r="P218" s="181" t="n"/>
      <c r="Q218" s="181" t="n"/>
      <c r="R218" s="181" t="n"/>
      <c r="S218" s="181" t="n"/>
      <c r="T218" s="181" t="n"/>
      <c r="U218" s="181" t="n"/>
      <c r="V218" s="181" t="n"/>
      <c r="W218" s="181" t="n"/>
      <c r="X218" s="181" t="n"/>
      <c r="Y218" s="181" t="n"/>
      <c r="Z218" s="181" t="n"/>
      <c r="AA218" s="181" t="n"/>
      <c r="AB218" s="181" t="n"/>
    </row>
    <row r="219">
      <c r="A219" s="181" t="n"/>
      <c r="B219" s="181" t="n"/>
      <c r="C219" s="181" t="n"/>
      <c r="D219" s="181" t="n"/>
      <c r="E219" s="181" t="n"/>
      <c r="F219" s="204" t="n"/>
      <c r="G219" s="204" t="n"/>
      <c r="H219" s="204" t="n"/>
      <c r="I219" s="204" t="n"/>
      <c r="J219" s="204" t="n"/>
      <c r="K219" s="181" t="n"/>
      <c r="L219" s="181" t="n"/>
      <c r="M219" s="181" t="n"/>
      <c r="N219" s="181" t="n"/>
      <c r="O219" s="181" t="n"/>
      <c r="P219" s="181" t="n"/>
      <c r="Q219" s="181" t="n"/>
      <c r="R219" s="181" t="n"/>
      <c r="S219" s="181" t="n"/>
      <c r="T219" s="181" t="n"/>
      <c r="U219" s="181" t="n"/>
      <c r="V219" s="181" t="n"/>
      <c r="W219" s="181" t="n"/>
      <c r="X219" s="181" t="n"/>
      <c r="Y219" s="181" t="n"/>
      <c r="Z219" s="181" t="n"/>
      <c r="AA219" s="181" t="n"/>
      <c r="AB219" s="181" t="n"/>
    </row>
    <row r="220">
      <c r="A220" s="181" t="n"/>
      <c r="B220" s="181" t="n"/>
      <c r="C220" s="181" t="n"/>
      <c r="D220" s="181" t="n"/>
      <c r="E220" s="181" t="n"/>
      <c r="F220" s="204" t="n"/>
      <c r="G220" s="204" t="n"/>
      <c r="H220" s="204" t="n"/>
      <c r="I220" s="204" t="n"/>
      <c r="J220" s="204" t="n"/>
      <c r="K220" s="181" t="n"/>
      <c r="L220" s="181" t="n"/>
      <c r="M220" s="181" t="n"/>
      <c r="N220" s="181" t="n"/>
      <c r="O220" s="181" t="n"/>
      <c r="P220" s="181" t="n"/>
      <c r="Q220" s="181" t="n"/>
      <c r="R220" s="181" t="n"/>
      <c r="S220" s="181" t="n"/>
      <c r="T220" s="181" t="n"/>
      <c r="U220" s="181" t="n"/>
      <c r="V220" s="181" t="n"/>
      <c r="W220" s="181" t="n"/>
      <c r="X220" s="181" t="n"/>
      <c r="Y220" s="181" t="n"/>
      <c r="Z220" s="181" t="n"/>
      <c r="AA220" s="181" t="n"/>
      <c r="AB220" s="181" t="n"/>
    </row>
    <row r="221">
      <c r="A221" s="181" t="n"/>
      <c r="B221" s="181" t="n"/>
      <c r="C221" s="181" t="n"/>
      <c r="D221" s="181" t="n"/>
      <c r="E221" s="181" t="n"/>
      <c r="F221" s="204" t="n"/>
      <c r="G221" s="204" t="n"/>
      <c r="H221" s="204" t="n"/>
      <c r="I221" s="204" t="n"/>
      <c r="J221" s="204" t="n"/>
      <c r="K221" s="181" t="n"/>
      <c r="L221" s="181" t="n"/>
      <c r="M221" s="181" t="n"/>
      <c r="N221" s="181" t="n"/>
      <c r="O221" s="181" t="n"/>
      <c r="P221" s="181" t="n"/>
      <c r="Q221" s="181" t="n"/>
      <c r="R221" s="181" t="n"/>
      <c r="S221" s="181" t="n"/>
      <c r="T221" s="181" t="n"/>
      <c r="U221" s="181" t="n"/>
      <c r="V221" s="181" t="n"/>
      <c r="W221" s="181" t="n"/>
      <c r="X221" s="181" t="n"/>
      <c r="Y221" s="181" t="n"/>
      <c r="Z221" s="181" t="n"/>
      <c r="AA221" s="181" t="n"/>
      <c r="AB221" s="181" t="n"/>
    </row>
    <row r="222">
      <c r="A222" s="181" t="n"/>
      <c r="B222" s="181" t="n"/>
      <c r="C222" s="181" t="n"/>
      <c r="D222" s="181" t="n"/>
      <c r="E222" s="181" t="n"/>
      <c r="F222" s="204" t="n"/>
      <c r="G222" s="204" t="n"/>
      <c r="H222" s="204" t="n"/>
      <c r="I222" s="204" t="n"/>
      <c r="J222" s="204" t="n"/>
      <c r="K222" s="181" t="n"/>
      <c r="L222" s="181" t="n"/>
      <c r="M222" s="181" t="n"/>
      <c r="N222" s="181" t="n"/>
      <c r="O222" s="181" t="n"/>
      <c r="P222" s="181" t="n"/>
      <c r="Q222" s="181" t="n"/>
      <c r="R222" s="181" t="n"/>
      <c r="S222" s="181" t="n"/>
      <c r="T222" s="181" t="n"/>
      <c r="U222" s="181" t="n"/>
      <c r="V222" s="181" t="n"/>
      <c r="W222" s="181" t="n"/>
      <c r="X222" s="181" t="n"/>
      <c r="Y222" s="181" t="n"/>
      <c r="Z222" s="181" t="n"/>
      <c r="AA222" s="181" t="n"/>
      <c r="AB222" s="181" t="n"/>
    </row>
    <row r="223">
      <c r="A223" s="181" t="n"/>
      <c r="B223" s="181" t="n"/>
      <c r="C223" s="181" t="n"/>
      <c r="D223" s="181" t="n"/>
      <c r="E223" s="181" t="n"/>
      <c r="F223" s="204" t="n"/>
      <c r="G223" s="204" t="n"/>
      <c r="H223" s="204" t="n"/>
      <c r="I223" s="204" t="n"/>
      <c r="J223" s="204" t="n"/>
      <c r="K223" s="181" t="n"/>
      <c r="L223" s="181" t="n"/>
      <c r="M223" s="181" t="n"/>
      <c r="N223" s="181" t="n"/>
      <c r="O223" s="181" t="n"/>
      <c r="P223" s="181" t="n"/>
      <c r="Q223" s="181" t="n"/>
      <c r="R223" s="181" t="n"/>
      <c r="S223" s="181" t="n"/>
      <c r="T223" s="181" t="n"/>
      <c r="U223" s="181" t="n"/>
      <c r="V223" s="181" t="n"/>
      <c r="W223" s="181" t="n"/>
      <c r="X223" s="181" t="n"/>
      <c r="Y223" s="181" t="n"/>
      <c r="Z223" s="181" t="n"/>
      <c r="AA223" s="181" t="n"/>
      <c r="AB223" s="181" t="n"/>
    </row>
    <row r="224">
      <c r="A224" s="181" t="n"/>
      <c r="B224" s="181" t="n"/>
      <c r="C224" s="181" t="n"/>
      <c r="D224" s="181" t="n"/>
      <c r="E224" s="181" t="n"/>
      <c r="F224" s="204" t="n"/>
      <c r="G224" s="204" t="n"/>
      <c r="H224" s="204" t="n"/>
      <c r="I224" s="204" t="n"/>
      <c r="J224" s="204" t="n"/>
      <c r="K224" s="181" t="n"/>
      <c r="L224" s="181" t="n"/>
      <c r="M224" s="181" t="n"/>
      <c r="N224" s="181" t="n"/>
      <c r="O224" s="181" t="n"/>
      <c r="P224" s="181" t="n"/>
      <c r="Q224" s="181" t="n"/>
      <c r="R224" s="181" t="n"/>
      <c r="S224" s="181" t="n"/>
      <c r="T224" s="181" t="n"/>
      <c r="U224" s="181" t="n"/>
      <c r="V224" s="181" t="n"/>
      <c r="W224" s="181" t="n"/>
      <c r="X224" s="181" t="n"/>
      <c r="Y224" s="181" t="n"/>
      <c r="Z224" s="181" t="n"/>
      <c r="AA224" s="181" t="n"/>
      <c r="AB224" s="181" t="n"/>
    </row>
    <row r="225">
      <c r="A225" s="181" t="n"/>
      <c r="B225" s="181" t="n"/>
      <c r="C225" s="181" t="n"/>
      <c r="D225" s="181" t="n"/>
      <c r="E225" s="181" t="n"/>
      <c r="F225" s="204" t="n"/>
      <c r="G225" s="204" t="n"/>
      <c r="H225" s="204" t="n"/>
      <c r="I225" s="204" t="n"/>
      <c r="J225" s="204" t="n"/>
      <c r="K225" s="181" t="n"/>
      <c r="L225" s="181" t="n"/>
      <c r="M225" s="181" t="n"/>
      <c r="N225" s="181" t="n"/>
      <c r="O225" s="181" t="n"/>
      <c r="P225" s="181" t="n"/>
      <c r="Q225" s="181" t="n"/>
      <c r="R225" s="181" t="n"/>
      <c r="S225" s="181" t="n"/>
      <c r="T225" s="181" t="n"/>
      <c r="U225" s="181" t="n"/>
      <c r="V225" s="181" t="n"/>
      <c r="W225" s="181" t="n"/>
      <c r="X225" s="181" t="n"/>
      <c r="Y225" s="181" t="n"/>
      <c r="Z225" s="181" t="n"/>
      <c r="AA225" s="181" t="n"/>
      <c r="AB225" s="181" t="n"/>
    </row>
    <row r="226">
      <c r="A226" s="181" t="n"/>
      <c r="B226" s="181" t="n"/>
      <c r="C226" s="181" t="n"/>
      <c r="D226" s="181" t="n"/>
      <c r="E226" s="181" t="n"/>
      <c r="F226" s="204" t="n"/>
      <c r="G226" s="204" t="n"/>
      <c r="H226" s="204" t="n"/>
      <c r="I226" s="204" t="n"/>
      <c r="J226" s="204" t="n"/>
      <c r="K226" s="181" t="n"/>
      <c r="L226" s="181" t="n"/>
      <c r="M226" s="181" t="n"/>
      <c r="N226" s="181" t="n"/>
      <c r="O226" s="181" t="n"/>
      <c r="P226" s="181" t="n"/>
      <c r="Q226" s="181" t="n"/>
      <c r="R226" s="181" t="n"/>
      <c r="S226" s="181" t="n"/>
      <c r="T226" s="181" t="n"/>
      <c r="U226" s="181" t="n"/>
      <c r="V226" s="181" t="n"/>
      <c r="W226" s="181" t="n"/>
      <c r="X226" s="181" t="n"/>
      <c r="Y226" s="181" t="n"/>
      <c r="Z226" s="181" t="n"/>
      <c r="AA226" s="181" t="n"/>
      <c r="AB226" s="181" t="n"/>
    </row>
    <row r="227">
      <c r="A227" s="181" t="n"/>
      <c r="B227" s="181" t="n"/>
      <c r="C227" s="181" t="n"/>
      <c r="D227" s="181" t="n"/>
      <c r="E227" s="181" t="n"/>
      <c r="F227" s="204" t="n"/>
      <c r="G227" s="204" t="n"/>
      <c r="H227" s="204" t="n"/>
      <c r="I227" s="204" t="n"/>
      <c r="J227" s="204" t="n"/>
      <c r="K227" s="181" t="n"/>
      <c r="L227" s="181" t="n"/>
      <c r="M227" s="181" t="n"/>
      <c r="N227" s="181" t="n"/>
      <c r="O227" s="181" t="n"/>
      <c r="P227" s="181" t="n"/>
      <c r="Q227" s="181" t="n"/>
      <c r="R227" s="181" t="n"/>
      <c r="S227" s="181" t="n"/>
      <c r="T227" s="181" t="n"/>
      <c r="U227" s="181" t="n"/>
      <c r="V227" s="181" t="n"/>
      <c r="W227" s="181" t="n"/>
      <c r="X227" s="181" t="n"/>
      <c r="Y227" s="181" t="n"/>
      <c r="Z227" s="181" t="n"/>
      <c r="AA227" s="181" t="n"/>
      <c r="AB227" s="181" t="n"/>
    </row>
    <row r="228">
      <c r="A228" s="181" t="n"/>
      <c r="B228" s="181" t="n"/>
      <c r="C228" s="181" t="n"/>
      <c r="D228" s="181" t="n"/>
      <c r="E228" s="181" t="n"/>
      <c r="F228" s="204" t="n"/>
      <c r="G228" s="204" t="n"/>
      <c r="H228" s="204" t="n"/>
      <c r="I228" s="204" t="n"/>
      <c r="J228" s="204" t="n"/>
      <c r="K228" s="181" t="n"/>
      <c r="L228" s="181" t="n"/>
      <c r="M228" s="181" t="n"/>
      <c r="N228" s="181" t="n"/>
      <c r="O228" s="181" t="n"/>
      <c r="P228" s="181" t="n"/>
      <c r="Q228" s="181" t="n"/>
      <c r="R228" s="181" t="n"/>
      <c r="S228" s="181" t="n"/>
      <c r="T228" s="181" t="n"/>
      <c r="U228" s="181" t="n"/>
      <c r="V228" s="181" t="n"/>
      <c r="W228" s="181" t="n"/>
      <c r="X228" s="181" t="n"/>
      <c r="Y228" s="181" t="n"/>
      <c r="Z228" s="181" t="n"/>
      <c r="AA228" s="181" t="n"/>
      <c r="AB228" s="181" t="n"/>
    </row>
    <row r="229">
      <c r="A229" s="181" t="n"/>
      <c r="B229" s="181" t="n"/>
      <c r="C229" s="181" t="n"/>
      <c r="D229" s="181" t="n"/>
      <c r="E229" s="181" t="n"/>
      <c r="F229" s="204" t="n"/>
      <c r="G229" s="204" t="n"/>
      <c r="H229" s="204" t="n"/>
      <c r="I229" s="204" t="n"/>
      <c r="J229" s="204" t="n"/>
      <c r="K229" s="181" t="n"/>
      <c r="L229" s="181" t="n"/>
      <c r="M229" s="181" t="n"/>
      <c r="N229" s="181" t="n"/>
      <c r="O229" s="181" t="n"/>
      <c r="P229" s="181" t="n"/>
      <c r="Q229" s="181" t="n"/>
      <c r="R229" s="181" t="n"/>
      <c r="S229" s="181" t="n"/>
      <c r="T229" s="181" t="n"/>
      <c r="U229" s="181" t="n"/>
      <c r="V229" s="181" t="n"/>
      <c r="W229" s="181" t="n"/>
      <c r="X229" s="181" t="n"/>
      <c r="Y229" s="181" t="n"/>
      <c r="Z229" s="181" t="n"/>
      <c r="AA229" s="181" t="n"/>
      <c r="AB229" s="181" t="n"/>
    </row>
    <row r="230">
      <c r="A230" s="181" t="n"/>
      <c r="B230" s="181" t="n"/>
      <c r="C230" s="181" t="n"/>
      <c r="D230" s="181" t="n"/>
      <c r="E230" s="181" t="n"/>
      <c r="F230" s="204" t="n"/>
      <c r="G230" s="204" t="n"/>
      <c r="H230" s="204" t="n"/>
      <c r="I230" s="204" t="n"/>
      <c r="J230" s="204" t="n"/>
      <c r="K230" s="181" t="n"/>
      <c r="L230" s="181" t="n"/>
      <c r="M230" s="181" t="n"/>
      <c r="N230" s="181" t="n"/>
      <c r="O230" s="181" t="n"/>
      <c r="P230" s="181" t="n"/>
      <c r="Q230" s="181" t="n"/>
      <c r="R230" s="181" t="n"/>
      <c r="S230" s="181" t="n"/>
      <c r="T230" s="181" t="n"/>
      <c r="U230" s="181" t="n"/>
      <c r="V230" s="181" t="n"/>
      <c r="W230" s="181" t="n"/>
      <c r="X230" s="181" t="n"/>
      <c r="Y230" s="181" t="n"/>
      <c r="Z230" s="181" t="n"/>
      <c r="AA230" s="181" t="n"/>
      <c r="AB230" s="181" t="n"/>
    </row>
    <row r="231">
      <c r="A231" s="181" t="n"/>
      <c r="B231" s="181" t="n"/>
      <c r="C231" s="181" t="n"/>
      <c r="D231" s="181" t="n"/>
      <c r="E231" s="181" t="n"/>
      <c r="F231" s="204" t="n"/>
      <c r="G231" s="204" t="n"/>
      <c r="H231" s="204" t="n"/>
      <c r="I231" s="204" t="n"/>
      <c r="J231" s="204" t="n"/>
      <c r="K231" s="181" t="n"/>
      <c r="L231" s="181" t="n"/>
      <c r="M231" s="181" t="n"/>
      <c r="N231" s="181" t="n"/>
      <c r="O231" s="181" t="n"/>
      <c r="P231" s="181" t="n"/>
      <c r="Q231" s="181" t="n"/>
      <c r="R231" s="181" t="n"/>
      <c r="S231" s="181" t="n"/>
      <c r="T231" s="181" t="n"/>
      <c r="U231" s="181" t="n"/>
      <c r="V231" s="181" t="n"/>
      <c r="W231" s="181" t="n"/>
      <c r="X231" s="181" t="n"/>
      <c r="Y231" s="181" t="n"/>
      <c r="Z231" s="181" t="n"/>
      <c r="AA231" s="181" t="n"/>
      <c r="AB231" s="181" t="n"/>
    </row>
    <row r="232">
      <c r="A232" s="181" t="n"/>
      <c r="B232" s="181" t="n"/>
      <c r="C232" s="181" t="n"/>
      <c r="D232" s="181" t="n"/>
      <c r="E232" s="181" t="n"/>
      <c r="F232" s="204" t="n"/>
      <c r="G232" s="204" t="n"/>
      <c r="H232" s="204" t="n"/>
      <c r="I232" s="204" t="n"/>
      <c r="J232" s="204" t="n"/>
      <c r="K232" s="181" t="n"/>
      <c r="L232" s="181" t="n"/>
      <c r="M232" s="181" t="n"/>
      <c r="N232" s="181" t="n"/>
      <c r="O232" s="181" t="n"/>
      <c r="P232" s="181" t="n"/>
      <c r="Q232" s="181" t="n"/>
      <c r="R232" s="181" t="n"/>
      <c r="S232" s="181" t="n"/>
      <c r="T232" s="181" t="n"/>
      <c r="U232" s="181" t="n"/>
      <c r="V232" s="181" t="n"/>
      <c r="W232" s="181" t="n"/>
      <c r="X232" s="181" t="n"/>
      <c r="Y232" s="181" t="n"/>
      <c r="Z232" s="181" t="n"/>
      <c r="AA232" s="181" t="n"/>
      <c r="AB232" s="181" t="n"/>
    </row>
    <row r="233">
      <c r="A233" s="181" t="n"/>
      <c r="B233" s="181" t="n"/>
      <c r="C233" s="181" t="n"/>
      <c r="D233" s="181" t="n"/>
      <c r="E233" s="181" t="n"/>
      <c r="F233" s="204" t="n"/>
      <c r="G233" s="204" t="n"/>
      <c r="H233" s="204" t="n"/>
      <c r="I233" s="204" t="n"/>
      <c r="J233" s="204" t="n"/>
      <c r="K233" s="181" t="n"/>
      <c r="L233" s="181" t="n"/>
      <c r="M233" s="181" t="n"/>
      <c r="N233" s="181" t="n"/>
      <c r="O233" s="181" t="n"/>
      <c r="P233" s="181" t="n"/>
      <c r="Q233" s="181" t="n"/>
      <c r="R233" s="181" t="n"/>
      <c r="S233" s="181" t="n"/>
      <c r="T233" s="181" t="n"/>
      <c r="U233" s="181" t="n"/>
      <c r="V233" s="181" t="n"/>
      <c r="W233" s="181" t="n"/>
      <c r="X233" s="181" t="n"/>
      <c r="Y233" s="181" t="n"/>
      <c r="Z233" s="181" t="n"/>
      <c r="AA233" s="181" t="n"/>
      <c r="AB233" s="181" t="n"/>
    </row>
    <row r="234">
      <c r="A234" s="181" t="n"/>
      <c r="B234" s="181" t="n"/>
      <c r="C234" s="181" t="n"/>
      <c r="D234" s="181" t="n"/>
      <c r="E234" s="181" t="n"/>
      <c r="F234" s="204" t="n"/>
      <c r="G234" s="204" t="n"/>
      <c r="H234" s="204" t="n"/>
      <c r="I234" s="204" t="n"/>
      <c r="J234" s="204" t="n"/>
      <c r="K234" s="181" t="n"/>
      <c r="L234" s="181" t="n"/>
      <c r="M234" s="181" t="n"/>
      <c r="N234" s="181" t="n"/>
      <c r="O234" s="181" t="n"/>
      <c r="P234" s="181" t="n"/>
      <c r="Q234" s="181" t="n"/>
      <c r="R234" s="181" t="n"/>
      <c r="S234" s="181" t="n"/>
      <c r="T234" s="181" t="n"/>
      <c r="U234" s="181" t="n"/>
      <c r="V234" s="181" t="n"/>
      <c r="W234" s="181" t="n"/>
      <c r="X234" s="181" t="n"/>
      <c r="Y234" s="181" t="n"/>
      <c r="Z234" s="181" t="n"/>
      <c r="AA234" s="181" t="n"/>
      <c r="AB234" s="181" t="n"/>
    </row>
    <row r="235">
      <c r="A235" s="181" t="n"/>
      <c r="B235" s="181" t="n"/>
      <c r="C235" s="181" t="n"/>
      <c r="D235" s="181" t="n"/>
      <c r="E235" s="181" t="n"/>
      <c r="F235" s="204" t="n"/>
      <c r="G235" s="204" t="n"/>
      <c r="H235" s="204" t="n"/>
      <c r="I235" s="204" t="n"/>
      <c r="J235" s="204" t="n"/>
      <c r="K235" s="181" t="n"/>
      <c r="L235" s="181" t="n"/>
      <c r="M235" s="181" t="n"/>
      <c r="N235" s="181" t="n"/>
      <c r="O235" s="181" t="n"/>
      <c r="P235" s="181" t="n"/>
      <c r="Q235" s="181" t="n"/>
      <c r="R235" s="181" t="n"/>
      <c r="S235" s="181" t="n"/>
      <c r="T235" s="181" t="n"/>
      <c r="U235" s="181" t="n"/>
      <c r="V235" s="181" t="n"/>
      <c r="W235" s="181" t="n"/>
      <c r="X235" s="181" t="n"/>
      <c r="Y235" s="181" t="n"/>
      <c r="Z235" s="181" t="n"/>
      <c r="AA235" s="181" t="n"/>
      <c r="AB235" s="181" t="n"/>
    </row>
    <row r="236">
      <c r="A236" s="181" t="n"/>
      <c r="B236" s="181" t="n"/>
      <c r="C236" s="181" t="n"/>
      <c r="D236" s="181" t="n"/>
      <c r="E236" s="181" t="n"/>
      <c r="F236" s="204" t="n"/>
      <c r="G236" s="204" t="n"/>
      <c r="H236" s="204" t="n"/>
      <c r="I236" s="204" t="n"/>
      <c r="J236" s="204" t="n"/>
      <c r="K236" s="181" t="n"/>
      <c r="L236" s="181" t="n"/>
      <c r="M236" s="181" t="n"/>
      <c r="N236" s="181" t="n"/>
      <c r="O236" s="181" t="n"/>
      <c r="P236" s="181" t="n"/>
      <c r="Q236" s="181" t="n"/>
      <c r="R236" s="181" t="n"/>
      <c r="S236" s="181" t="n"/>
      <c r="T236" s="181" t="n"/>
      <c r="U236" s="181" t="n"/>
      <c r="V236" s="181" t="n"/>
      <c r="W236" s="181" t="n"/>
      <c r="X236" s="181" t="n"/>
      <c r="Y236" s="181" t="n"/>
      <c r="Z236" s="181" t="n"/>
      <c r="AA236" s="181" t="n"/>
      <c r="AB236" s="181" t="n"/>
    </row>
    <row r="237">
      <c r="A237" s="181" t="n"/>
      <c r="B237" s="181" t="n"/>
      <c r="C237" s="181" t="n"/>
      <c r="D237" s="181" t="n"/>
      <c r="E237" s="181" t="n"/>
      <c r="F237" s="204" t="n"/>
      <c r="G237" s="204" t="n"/>
      <c r="H237" s="204" t="n"/>
      <c r="I237" s="204" t="n"/>
      <c r="J237" s="204" t="n"/>
      <c r="K237" s="181" t="n"/>
      <c r="L237" s="181" t="n"/>
      <c r="M237" s="181" t="n"/>
      <c r="N237" s="181" t="n"/>
      <c r="O237" s="181" t="n"/>
      <c r="P237" s="181" t="n"/>
      <c r="Q237" s="181" t="n"/>
      <c r="R237" s="181" t="n"/>
      <c r="S237" s="181" t="n"/>
      <c r="T237" s="181" t="n"/>
      <c r="U237" s="181" t="n"/>
      <c r="V237" s="181" t="n"/>
      <c r="W237" s="181" t="n"/>
      <c r="X237" s="181" t="n"/>
      <c r="Y237" s="181" t="n"/>
      <c r="Z237" s="181" t="n"/>
      <c r="AA237" s="181" t="n"/>
      <c r="AB237" s="181" t="n"/>
    </row>
    <row r="238">
      <c r="A238" s="181" t="n"/>
      <c r="B238" s="181" t="n"/>
      <c r="C238" s="181" t="n"/>
      <c r="D238" s="181" t="n"/>
      <c r="E238" s="181" t="n"/>
      <c r="F238" s="204" t="n"/>
      <c r="G238" s="204" t="n"/>
      <c r="H238" s="204" t="n"/>
      <c r="I238" s="204" t="n"/>
      <c r="J238" s="204" t="n"/>
      <c r="K238" s="181" t="n"/>
      <c r="L238" s="181" t="n"/>
      <c r="M238" s="181" t="n"/>
      <c r="N238" s="181" t="n"/>
      <c r="O238" s="181" t="n"/>
      <c r="P238" s="181" t="n"/>
      <c r="Q238" s="181" t="n"/>
      <c r="R238" s="181" t="n"/>
      <c r="S238" s="181" t="n"/>
      <c r="T238" s="181" t="n"/>
      <c r="U238" s="181" t="n"/>
      <c r="V238" s="181" t="n"/>
      <c r="W238" s="181" t="n"/>
      <c r="X238" s="181" t="n"/>
      <c r="Y238" s="181" t="n"/>
      <c r="Z238" s="181" t="n"/>
      <c r="AA238" s="181" t="n"/>
      <c r="AB238" s="181" t="n"/>
    </row>
    <row r="239">
      <c r="A239" s="181" t="n"/>
      <c r="B239" s="181" t="n"/>
      <c r="C239" s="181" t="n"/>
      <c r="D239" s="181" t="n"/>
      <c r="E239" s="181" t="n"/>
      <c r="F239" s="204" t="n"/>
      <c r="G239" s="204" t="n"/>
      <c r="H239" s="204" t="n"/>
      <c r="I239" s="204" t="n"/>
      <c r="J239" s="204" t="n"/>
      <c r="K239" s="181" t="n"/>
      <c r="L239" s="181" t="n"/>
      <c r="M239" s="181" t="n"/>
      <c r="N239" s="181" t="n"/>
      <c r="O239" s="181" t="n"/>
      <c r="P239" s="181" t="n"/>
      <c r="Q239" s="181" t="n"/>
      <c r="R239" s="181" t="n"/>
      <c r="S239" s="181" t="n"/>
      <c r="T239" s="181" t="n"/>
      <c r="U239" s="181" t="n"/>
      <c r="V239" s="181" t="n"/>
      <c r="W239" s="181" t="n"/>
      <c r="X239" s="181" t="n"/>
      <c r="Y239" s="181" t="n"/>
      <c r="Z239" s="181" t="n"/>
      <c r="AA239" s="181" t="n"/>
      <c r="AB239" s="181" t="n"/>
    </row>
    <row r="240">
      <c r="A240" s="181" t="n"/>
      <c r="B240" s="181" t="n"/>
      <c r="C240" s="181" t="n"/>
      <c r="D240" s="181" t="n"/>
      <c r="E240" s="181" t="n"/>
      <c r="F240" s="204" t="n"/>
      <c r="G240" s="204" t="n"/>
      <c r="H240" s="204" t="n"/>
      <c r="I240" s="204" t="n"/>
      <c r="J240" s="204" t="n"/>
      <c r="K240" s="181" t="n"/>
      <c r="L240" s="181" t="n"/>
      <c r="M240" s="181" t="n"/>
      <c r="N240" s="181" t="n"/>
      <c r="O240" s="181" t="n"/>
      <c r="P240" s="181" t="n"/>
      <c r="Q240" s="181" t="n"/>
      <c r="R240" s="181" t="n"/>
      <c r="S240" s="181" t="n"/>
      <c r="T240" s="181" t="n"/>
      <c r="U240" s="181" t="n"/>
      <c r="V240" s="181" t="n"/>
      <c r="W240" s="181" t="n"/>
      <c r="X240" s="181" t="n"/>
      <c r="Y240" s="181" t="n"/>
      <c r="Z240" s="181" t="n"/>
      <c r="AA240" s="181" t="n"/>
      <c r="AB240" s="181" t="n"/>
    </row>
    <row r="241">
      <c r="A241" s="181" t="n"/>
      <c r="B241" s="181" t="n"/>
      <c r="C241" s="181" t="n"/>
      <c r="D241" s="181" t="n"/>
      <c r="E241" s="181" t="n"/>
      <c r="F241" s="204" t="n"/>
      <c r="G241" s="204" t="n"/>
      <c r="H241" s="204" t="n"/>
      <c r="I241" s="204" t="n"/>
      <c r="J241" s="204" t="n"/>
      <c r="K241" s="181" t="n"/>
      <c r="L241" s="181" t="n"/>
      <c r="M241" s="181" t="n"/>
      <c r="N241" s="181" t="n"/>
      <c r="O241" s="181" t="n"/>
      <c r="P241" s="181" t="n"/>
      <c r="Q241" s="181" t="n"/>
      <c r="R241" s="181" t="n"/>
      <c r="S241" s="181" t="n"/>
      <c r="T241" s="181" t="n"/>
      <c r="U241" s="181" t="n"/>
      <c r="V241" s="181" t="n"/>
      <c r="W241" s="181" t="n"/>
      <c r="X241" s="181" t="n"/>
      <c r="Y241" s="181" t="n"/>
      <c r="Z241" s="181" t="n"/>
      <c r="AA241" s="181" t="n"/>
      <c r="AB241" s="181" t="n"/>
    </row>
    <row r="242">
      <c r="A242" s="181" t="n"/>
      <c r="B242" s="181" t="n"/>
      <c r="C242" s="181" t="n"/>
      <c r="D242" s="181" t="n"/>
      <c r="E242" s="181" t="n"/>
      <c r="F242" s="204" t="n"/>
      <c r="G242" s="204" t="n"/>
      <c r="H242" s="204" t="n"/>
      <c r="I242" s="204" t="n"/>
      <c r="J242" s="204" t="n"/>
      <c r="K242" s="181" t="n"/>
      <c r="L242" s="181" t="n"/>
      <c r="M242" s="181" t="n"/>
      <c r="N242" s="181" t="n"/>
      <c r="O242" s="181" t="n"/>
      <c r="P242" s="181" t="n"/>
      <c r="Q242" s="181" t="n"/>
      <c r="R242" s="181" t="n"/>
      <c r="S242" s="181" t="n"/>
      <c r="T242" s="181" t="n"/>
      <c r="U242" s="181" t="n"/>
      <c r="V242" s="181" t="n"/>
      <c r="W242" s="181" t="n"/>
      <c r="X242" s="181" t="n"/>
      <c r="Y242" s="181" t="n"/>
      <c r="Z242" s="181" t="n"/>
      <c r="AA242" s="181" t="n"/>
      <c r="AB242" s="181" t="n"/>
    </row>
    <row r="243">
      <c r="A243" s="181" t="n"/>
      <c r="B243" s="181" t="n"/>
      <c r="C243" s="181" t="n"/>
      <c r="D243" s="181" t="n"/>
      <c r="E243" s="181" t="n"/>
      <c r="F243" s="204" t="n"/>
      <c r="G243" s="204" t="n"/>
      <c r="H243" s="204" t="n"/>
      <c r="I243" s="204" t="n"/>
      <c r="J243" s="204" t="n"/>
      <c r="K243" s="181" t="n"/>
      <c r="L243" s="181" t="n"/>
      <c r="M243" s="181" t="n"/>
      <c r="N243" s="181" t="n"/>
      <c r="O243" s="181" t="n"/>
      <c r="P243" s="181" t="n"/>
      <c r="Q243" s="181" t="n"/>
      <c r="R243" s="181" t="n"/>
      <c r="S243" s="181" t="n"/>
      <c r="T243" s="181" t="n"/>
      <c r="U243" s="181" t="n"/>
      <c r="V243" s="181" t="n"/>
      <c r="W243" s="181" t="n"/>
      <c r="X243" s="181" t="n"/>
      <c r="Y243" s="181" t="n"/>
      <c r="Z243" s="181" t="n"/>
      <c r="AA243" s="181" t="n"/>
      <c r="AB243" s="181" t="n"/>
    </row>
    <row r="244">
      <c r="A244" s="181" t="n"/>
      <c r="B244" s="181" t="n"/>
      <c r="C244" s="181" t="n"/>
      <c r="D244" s="181" t="n"/>
      <c r="E244" s="181" t="n"/>
      <c r="F244" s="204" t="n"/>
      <c r="G244" s="204" t="n"/>
      <c r="H244" s="204" t="n"/>
      <c r="I244" s="204" t="n"/>
      <c r="J244" s="204" t="n"/>
      <c r="K244" s="181" t="n"/>
      <c r="L244" s="181" t="n"/>
      <c r="M244" s="181" t="n"/>
      <c r="N244" s="181" t="n"/>
      <c r="O244" s="181" t="n"/>
      <c r="P244" s="181" t="n"/>
      <c r="Q244" s="181" t="n"/>
      <c r="R244" s="181" t="n"/>
      <c r="S244" s="181" t="n"/>
      <c r="T244" s="181" t="n"/>
      <c r="U244" s="181" t="n"/>
      <c r="V244" s="181" t="n"/>
      <c r="W244" s="181" t="n"/>
      <c r="X244" s="181" t="n"/>
      <c r="Y244" s="181" t="n"/>
      <c r="Z244" s="181" t="n"/>
      <c r="AA244" s="181" t="n"/>
      <c r="AB244" s="181" t="n"/>
    </row>
    <row r="245">
      <c r="A245" s="181" t="n"/>
      <c r="B245" s="181" t="n"/>
      <c r="C245" s="181" t="n"/>
      <c r="D245" s="181" t="n"/>
      <c r="E245" s="181" t="n"/>
      <c r="F245" s="204" t="n"/>
      <c r="G245" s="204" t="n"/>
      <c r="H245" s="204" t="n"/>
      <c r="I245" s="204" t="n"/>
      <c r="J245" s="204" t="n"/>
      <c r="K245" s="181" t="n"/>
      <c r="L245" s="181" t="n"/>
      <c r="M245" s="181" t="n"/>
      <c r="N245" s="181" t="n"/>
      <c r="O245" s="181" t="n"/>
      <c r="P245" s="181" t="n"/>
      <c r="Q245" s="181" t="n"/>
      <c r="R245" s="181" t="n"/>
      <c r="S245" s="181" t="n"/>
      <c r="T245" s="181" t="n"/>
      <c r="U245" s="181" t="n"/>
      <c r="V245" s="181" t="n"/>
      <c r="W245" s="181" t="n"/>
      <c r="X245" s="181" t="n"/>
      <c r="Y245" s="181" t="n"/>
      <c r="Z245" s="181" t="n"/>
      <c r="AA245" s="181" t="n"/>
      <c r="AB245" s="181" t="n"/>
    </row>
    <row r="246">
      <c r="A246" s="181" t="n"/>
      <c r="B246" s="181" t="n"/>
      <c r="C246" s="181" t="n"/>
      <c r="D246" s="181" t="n"/>
      <c r="E246" s="181" t="n"/>
      <c r="F246" s="204" t="n"/>
      <c r="G246" s="204" t="n"/>
      <c r="H246" s="204" t="n"/>
      <c r="I246" s="204" t="n"/>
      <c r="J246" s="204" t="n"/>
      <c r="K246" s="181" t="n"/>
      <c r="L246" s="181" t="n"/>
      <c r="M246" s="181" t="n"/>
      <c r="N246" s="181" t="n"/>
      <c r="O246" s="181" t="n"/>
      <c r="P246" s="181" t="n"/>
      <c r="Q246" s="181" t="n"/>
      <c r="R246" s="181" t="n"/>
      <c r="S246" s="181" t="n"/>
      <c r="T246" s="181" t="n"/>
      <c r="U246" s="181" t="n"/>
      <c r="V246" s="181" t="n"/>
      <c r="W246" s="181" t="n"/>
      <c r="X246" s="181" t="n"/>
      <c r="Y246" s="181" t="n"/>
      <c r="Z246" s="181" t="n"/>
      <c r="AA246" s="181" t="n"/>
      <c r="AB246" s="181" t="n"/>
    </row>
    <row r="247">
      <c r="A247" s="181" t="n"/>
      <c r="B247" s="181" t="n"/>
      <c r="C247" s="181" t="n"/>
      <c r="D247" s="181" t="n"/>
      <c r="E247" s="181" t="n"/>
      <c r="F247" s="204" t="n"/>
      <c r="G247" s="204" t="n"/>
      <c r="H247" s="204" t="n"/>
      <c r="I247" s="204" t="n"/>
      <c r="J247" s="204" t="n"/>
      <c r="K247" s="181" t="n"/>
      <c r="L247" s="181" t="n"/>
      <c r="M247" s="181" t="n"/>
      <c r="N247" s="181" t="n"/>
      <c r="O247" s="181" t="n"/>
      <c r="P247" s="181" t="n"/>
      <c r="Q247" s="181" t="n"/>
      <c r="R247" s="181" t="n"/>
      <c r="S247" s="181" t="n"/>
      <c r="T247" s="181" t="n"/>
      <c r="U247" s="181" t="n"/>
      <c r="V247" s="181" t="n"/>
      <c r="W247" s="181" t="n"/>
      <c r="X247" s="181" t="n"/>
      <c r="Y247" s="181" t="n"/>
      <c r="Z247" s="181" t="n"/>
      <c r="AA247" s="181" t="n"/>
      <c r="AB247" s="181" t="n"/>
    </row>
    <row r="248">
      <c r="A248" s="181" t="n"/>
      <c r="B248" s="181" t="n"/>
      <c r="C248" s="181" t="n"/>
      <c r="D248" s="181" t="n"/>
      <c r="E248" s="181" t="n"/>
      <c r="F248" s="204" t="n"/>
      <c r="G248" s="204" t="n"/>
      <c r="H248" s="204" t="n"/>
      <c r="I248" s="204" t="n"/>
      <c r="J248" s="204" t="n"/>
      <c r="K248" s="181" t="n"/>
      <c r="L248" s="181" t="n"/>
      <c r="M248" s="181" t="n"/>
      <c r="N248" s="181" t="n"/>
      <c r="O248" s="181" t="n"/>
      <c r="P248" s="181" t="n"/>
      <c r="Q248" s="181" t="n"/>
      <c r="R248" s="181" t="n"/>
      <c r="S248" s="181" t="n"/>
      <c r="T248" s="181" t="n"/>
      <c r="U248" s="181" t="n"/>
      <c r="V248" s="181" t="n"/>
      <c r="W248" s="181" t="n"/>
      <c r="X248" s="181" t="n"/>
      <c r="Y248" s="181" t="n"/>
      <c r="Z248" s="181" t="n"/>
      <c r="AA248" s="181" t="n"/>
      <c r="AB248" s="181" t="n"/>
    </row>
    <row r="249">
      <c r="A249" s="181" t="n"/>
      <c r="B249" s="181" t="n"/>
      <c r="C249" s="181" t="n"/>
      <c r="D249" s="181" t="n"/>
      <c r="E249" s="181" t="n"/>
      <c r="F249" s="204" t="n"/>
      <c r="G249" s="204" t="n"/>
      <c r="H249" s="204" t="n"/>
      <c r="I249" s="204" t="n"/>
      <c r="J249" s="204" t="n"/>
      <c r="K249" s="181" t="n"/>
      <c r="L249" s="181" t="n"/>
      <c r="M249" s="181" t="n"/>
      <c r="N249" s="181" t="n"/>
      <c r="O249" s="181" t="n"/>
      <c r="P249" s="181" t="n"/>
      <c r="Q249" s="181" t="n"/>
      <c r="R249" s="181" t="n"/>
      <c r="S249" s="181" t="n"/>
      <c r="T249" s="181" t="n"/>
      <c r="U249" s="181" t="n"/>
      <c r="V249" s="181" t="n"/>
      <c r="W249" s="181" t="n"/>
      <c r="X249" s="181" t="n"/>
      <c r="Y249" s="181" t="n"/>
      <c r="Z249" s="181" t="n"/>
      <c r="AA249" s="181" t="n"/>
      <c r="AB249" s="181" t="n"/>
    </row>
    <row r="250">
      <c r="A250" s="181" t="n"/>
      <c r="B250" s="181" t="n"/>
      <c r="C250" s="181" t="n"/>
      <c r="D250" s="181" t="n"/>
      <c r="E250" s="181" t="n"/>
      <c r="F250" s="204" t="n"/>
      <c r="G250" s="204" t="n"/>
      <c r="H250" s="204" t="n"/>
      <c r="I250" s="204" t="n"/>
      <c r="J250" s="204" t="n"/>
      <c r="K250" s="181" t="n"/>
      <c r="L250" s="181" t="n"/>
      <c r="M250" s="181" t="n"/>
      <c r="N250" s="181" t="n"/>
      <c r="O250" s="181" t="n"/>
      <c r="P250" s="181" t="n"/>
      <c r="Q250" s="181" t="n"/>
      <c r="R250" s="181" t="n"/>
      <c r="S250" s="181" t="n"/>
      <c r="T250" s="181" t="n"/>
      <c r="U250" s="181" t="n"/>
      <c r="V250" s="181" t="n"/>
      <c r="W250" s="181" t="n"/>
      <c r="X250" s="181" t="n"/>
      <c r="Y250" s="181" t="n"/>
      <c r="Z250" s="181" t="n"/>
      <c r="AA250" s="181" t="n"/>
      <c r="AB250" s="181" t="n"/>
    </row>
    <row r="251">
      <c r="A251" s="181" t="n"/>
      <c r="B251" s="181" t="n"/>
      <c r="C251" s="181" t="n"/>
      <c r="D251" s="181" t="n"/>
      <c r="E251" s="181" t="n"/>
      <c r="F251" s="204" t="n"/>
      <c r="G251" s="204" t="n"/>
      <c r="H251" s="204" t="n"/>
      <c r="I251" s="204" t="n"/>
      <c r="J251" s="204" t="n"/>
      <c r="K251" s="181" t="n"/>
      <c r="L251" s="181" t="n"/>
      <c r="M251" s="181" t="n"/>
      <c r="N251" s="181" t="n"/>
      <c r="O251" s="181" t="n"/>
      <c r="P251" s="181" t="n"/>
      <c r="Q251" s="181" t="n"/>
      <c r="R251" s="181" t="n"/>
      <c r="S251" s="181" t="n"/>
      <c r="T251" s="181" t="n"/>
      <c r="U251" s="181" t="n"/>
      <c r="V251" s="181" t="n"/>
      <c r="W251" s="181" t="n"/>
      <c r="X251" s="181" t="n"/>
      <c r="Y251" s="181" t="n"/>
      <c r="Z251" s="181" t="n"/>
      <c r="AA251" s="181" t="n"/>
      <c r="AB251" s="181" t="n"/>
    </row>
    <row r="252">
      <c r="A252" s="181" t="n"/>
      <c r="B252" s="181" t="n"/>
      <c r="C252" s="181" t="n"/>
      <c r="D252" s="181" t="n"/>
      <c r="E252" s="181" t="n"/>
      <c r="F252" s="204" t="n"/>
      <c r="G252" s="204" t="n"/>
      <c r="H252" s="204" t="n"/>
      <c r="I252" s="204" t="n"/>
      <c r="J252" s="204" t="n"/>
      <c r="K252" s="181" t="n"/>
      <c r="L252" s="181" t="n"/>
      <c r="M252" s="181" t="n"/>
      <c r="N252" s="181" t="n"/>
      <c r="O252" s="181" t="n"/>
      <c r="P252" s="181" t="n"/>
      <c r="Q252" s="181" t="n"/>
      <c r="R252" s="181" t="n"/>
      <c r="S252" s="181" t="n"/>
      <c r="T252" s="181" t="n"/>
      <c r="U252" s="181" t="n"/>
      <c r="V252" s="181" t="n"/>
      <c r="W252" s="181" t="n"/>
      <c r="X252" s="181" t="n"/>
      <c r="Y252" s="181" t="n"/>
      <c r="Z252" s="181" t="n"/>
      <c r="AA252" s="181" t="n"/>
      <c r="AB252" s="181" t="n"/>
    </row>
    <row r="253">
      <c r="A253" s="181" t="n"/>
      <c r="B253" s="181" t="n"/>
      <c r="C253" s="181" t="n"/>
      <c r="D253" s="181" t="n"/>
      <c r="E253" s="181" t="n"/>
      <c r="F253" s="204" t="n"/>
      <c r="G253" s="204" t="n"/>
      <c r="H253" s="204" t="n"/>
      <c r="I253" s="204" t="n"/>
      <c r="J253" s="204" t="n"/>
      <c r="K253" s="181" t="n"/>
      <c r="L253" s="181" t="n"/>
      <c r="M253" s="181" t="n"/>
      <c r="N253" s="181" t="n"/>
      <c r="O253" s="181" t="n"/>
      <c r="P253" s="181" t="n"/>
      <c r="Q253" s="181" t="n"/>
      <c r="R253" s="181" t="n"/>
      <c r="S253" s="181" t="n"/>
      <c r="T253" s="181" t="n"/>
      <c r="U253" s="181" t="n"/>
      <c r="V253" s="181" t="n"/>
      <c r="W253" s="181" t="n"/>
      <c r="X253" s="181" t="n"/>
      <c r="Y253" s="181" t="n"/>
      <c r="Z253" s="181" t="n"/>
      <c r="AA253" s="181" t="n"/>
      <c r="AB253" s="181" t="n"/>
    </row>
    <row r="254">
      <c r="A254" s="181" t="n"/>
      <c r="B254" s="181" t="n"/>
      <c r="C254" s="181" t="n"/>
      <c r="D254" s="181" t="n"/>
      <c r="E254" s="181" t="n"/>
      <c r="F254" s="204" t="n"/>
      <c r="G254" s="204" t="n"/>
      <c r="H254" s="204" t="n"/>
      <c r="I254" s="204" t="n"/>
      <c r="J254" s="204" t="n"/>
      <c r="K254" s="181" t="n"/>
      <c r="L254" s="181" t="n"/>
      <c r="M254" s="181" t="n"/>
      <c r="N254" s="181" t="n"/>
      <c r="O254" s="181" t="n"/>
      <c r="P254" s="181" t="n"/>
      <c r="Q254" s="181" t="n"/>
      <c r="R254" s="181" t="n"/>
      <c r="S254" s="181" t="n"/>
      <c r="T254" s="181" t="n"/>
      <c r="U254" s="181" t="n"/>
      <c r="V254" s="181" t="n"/>
      <c r="W254" s="181" t="n"/>
      <c r="X254" s="181" t="n"/>
      <c r="Y254" s="181" t="n"/>
      <c r="Z254" s="181" t="n"/>
      <c r="AA254" s="181" t="n"/>
      <c r="AB254" s="181" t="n"/>
    </row>
    <row r="255">
      <c r="A255" s="181" t="n"/>
      <c r="B255" s="181" t="n"/>
      <c r="C255" s="181" t="n"/>
      <c r="D255" s="181" t="n"/>
      <c r="E255" s="181" t="n"/>
      <c r="F255" s="204" t="n"/>
      <c r="G255" s="204" t="n"/>
      <c r="H255" s="204" t="n"/>
      <c r="I255" s="204" t="n"/>
      <c r="J255" s="204" t="n"/>
      <c r="K255" s="181" t="n"/>
      <c r="L255" s="181" t="n"/>
      <c r="M255" s="181" t="n"/>
      <c r="N255" s="181" t="n"/>
      <c r="O255" s="181" t="n"/>
      <c r="P255" s="181" t="n"/>
      <c r="Q255" s="181" t="n"/>
      <c r="R255" s="181" t="n"/>
      <c r="S255" s="181" t="n"/>
      <c r="T255" s="181" t="n"/>
      <c r="U255" s="181" t="n"/>
      <c r="V255" s="181" t="n"/>
      <c r="W255" s="181" t="n"/>
      <c r="X255" s="181" t="n"/>
      <c r="Y255" s="181" t="n"/>
      <c r="Z255" s="181" t="n"/>
      <c r="AA255" s="181" t="n"/>
      <c r="AB255" s="181" t="n"/>
    </row>
    <row r="256">
      <c r="A256" s="181" t="n"/>
      <c r="B256" s="181" t="n"/>
      <c r="C256" s="181" t="n"/>
      <c r="D256" s="181" t="n"/>
      <c r="E256" s="181" t="n"/>
      <c r="F256" s="204" t="n"/>
      <c r="G256" s="204" t="n"/>
      <c r="H256" s="204" t="n"/>
      <c r="I256" s="204" t="n"/>
      <c r="J256" s="204" t="n"/>
      <c r="K256" s="181" t="n"/>
      <c r="L256" s="181" t="n"/>
      <c r="M256" s="181" t="n"/>
      <c r="N256" s="181" t="n"/>
      <c r="O256" s="181" t="n"/>
      <c r="P256" s="181" t="n"/>
      <c r="Q256" s="181" t="n"/>
      <c r="R256" s="181" t="n"/>
      <c r="S256" s="181" t="n"/>
      <c r="T256" s="181" t="n"/>
      <c r="U256" s="181" t="n"/>
      <c r="V256" s="181" t="n"/>
      <c r="W256" s="181" t="n"/>
      <c r="X256" s="181" t="n"/>
      <c r="Y256" s="181" t="n"/>
      <c r="Z256" s="181" t="n"/>
      <c r="AA256" s="181" t="n"/>
      <c r="AB256" s="181" t="n"/>
    </row>
    <row r="257">
      <c r="A257" s="181" t="n"/>
      <c r="B257" s="181" t="n"/>
      <c r="C257" s="181" t="n"/>
      <c r="D257" s="181" t="n"/>
      <c r="E257" s="181" t="n"/>
      <c r="F257" s="204" t="n"/>
      <c r="G257" s="204" t="n"/>
      <c r="H257" s="204" t="n"/>
      <c r="I257" s="204" t="n"/>
      <c r="J257" s="204" t="n"/>
      <c r="K257" s="181" t="n"/>
      <c r="L257" s="181" t="n"/>
      <c r="M257" s="181" t="n"/>
      <c r="N257" s="181" t="n"/>
      <c r="O257" s="181" t="n"/>
      <c r="P257" s="181" t="n"/>
      <c r="Q257" s="181" t="n"/>
      <c r="R257" s="181" t="n"/>
      <c r="S257" s="181" t="n"/>
      <c r="T257" s="181" t="n"/>
      <c r="U257" s="181" t="n"/>
      <c r="V257" s="181" t="n"/>
      <c r="W257" s="181" t="n"/>
      <c r="X257" s="181" t="n"/>
      <c r="Y257" s="181" t="n"/>
      <c r="Z257" s="181" t="n"/>
      <c r="AA257" s="181" t="n"/>
      <c r="AB257" s="181" t="n"/>
    </row>
    <row r="258">
      <c r="A258" s="181" t="n"/>
      <c r="B258" s="181" t="n"/>
      <c r="C258" s="181" t="n"/>
      <c r="D258" s="181" t="n"/>
      <c r="E258" s="181" t="n"/>
      <c r="F258" s="204" t="n"/>
      <c r="G258" s="204" t="n"/>
      <c r="H258" s="204" t="n"/>
      <c r="I258" s="204" t="n"/>
      <c r="J258" s="204" t="n"/>
      <c r="K258" s="181" t="n"/>
      <c r="L258" s="181" t="n"/>
      <c r="M258" s="181" t="n"/>
      <c r="N258" s="181" t="n"/>
      <c r="O258" s="181" t="n"/>
      <c r="P258" s="181" t="n"/>
      <c r="Q258" s="181" t="n"/>
      <c r="R258" s="181" t="n"/>
      <c r="S258" s="181" t="n"/>
      <c r="T258" s="181" t="n"/>
      <c r="U258" s="181" t="n"/>
      <c r="V258" s="181" t="n"/>
      <c r="W258" s="181" t="n"/>
      <c r="X258" s="181" t="n"/>
      <c r="Y258" s="181" t="n"/>
      <c r="Z258" s="181" t="n"/>
      <c r="AA258" s="181" t="n"/>
      <c r="AB258" s="181" t="n"/>
    </row>
    <row r="259">
      <c r="A259" s="181" t="n"/>
      <c r="B259" s="181" t="n"/>
      <c r="C259" s="181" t="n"/>
      <c r="D259" s="181" t="n"/>
      <c r="E259" s="181" t="n"/>
      <c r="F259" s="204" t="n"/>
      <c r="G259" s="204" t="n"/>
      <c r="H259" s="204" t="n"/>
      <c r="I259" s="204" t="n"/>
      <c r="J259" s="204" t="n"/>
      <c r="K259" s="181" t="n"/>
      <c r="L259" s="181" t="n"/>
      <c r="M259" s="181" t="n"/>
      <c r="N259" s="181" t="n"/>
      <c r="O259" s="181" t="n"/>
      <c r="P259" s="181" t="n"/>
      <c r="Q259" s="181" t="n"/>
      <c r="R259" s="181" t="n"/>
      <c r="S259" s="181" t="n"/>
      <c r="T259" s="181" t="n"/>
      <c r="U259" s="181" t="n"/>
      <c r="V259" s="181" t="n"/>
      <c r="W259" s="181" t="n"/>
      <c r="X259" s="181" t="n"/>
      <c r="Y259" s="181" t="n"/>
      <c r="Z259" s="181" t="n"/>
      <c r="AA259" s="181" t="n"/>
      <c r="AB259" s="181" t="n"/>
    </row>
    <row r="260">
      <c r="A260" s="181" t="n"/>
      <c r="B260" s="181" t="n"/>
      <c r="C260" s="181" t="n"/>
      <c r="D260" s="181" t="n"/>
      <c r="E260" s="181" t="n"/>
      <c r="F260" s="204" t="n"/>
      <c r="G260" s="204" t="n"/>
      <c r="H260" s="204" t="n"/>
      <c r="I260" s="204" t="n"/>
      <c r="J260" s="204" t="n"/>
      <c r="K260" s="181" t="n"/>
      <c r="L260" s="181" t="n"/>
      <c r="M260" s="181" t="n"/>
      <c r="N260" s="181" t="n"/>
      <c r="O260" s="181" t="n"/>
      <c r="P260" s="181" t="n"/>
      <c r="Q260" s="181" t="n"/>
      <c r="R260" s="181" t="n"/>
      <c r="S260" s="181" t="n"/>
      <c r="T260" s="181" t="n"/>
      <c r="U260" s="181" t="n"/>
      <c r="V260" s="181" t="n"/>
      <c r="W260" s="181" t="n"/>
      <c r="X260" s="181" t="n"/>
      <c r="Y260" s="181" t="n"/>
      <c r="Z260" s="181" t="n"/>
      <c r="AA260" s="181" t="n"/>
      <c r="AB260" s="181" t="n"/>
    </row>
    <row r="261">
      <c r="A261" s="181" t="n"/>
      <c r="B261" s="181" t="n"/>
      <c r="C261" s="181" t="n"/>
      <c r="D261" s="181" t="n"/>
      <c r="E261" s="181" t="n"/>
      <c r="F261" s="204" t="n"/>
      <c r="G261" s="204" t="n"/>
      <c r="H261" s="204" t="n"/>
      <c r="I261" s="204" t="n"/>
      <c r="J261" s="204" t="n"/>
      <c r="K261" s="181" t="n"/>
      <c r="L261" s="181" t="n"/>
      <c r="M261" s="181" t="n"/>
      <c r="N261" s="181" t="n"/>
      <c r="O261" s="181" t="n"/>
      <c r="P261" s="181" t="n"/>
      <c r="Q261" s="181" t="n"/>
      <c r="R261" s="181" t="n"/>
      <c r="S261" s="181" t="n"/>
      <c r="T261" s="181" t="n"/>
      <c r="U261" s="181" t="n"/>
      <c r="V261" s="181" t="n"/>
      <c r="W261" s="181" t="n"/>
      <c r="X261" s="181" t="n"/>
      <c r="Y261" s="181" t="n"/>
      <c r="Z261" s="181" t="n"/>
      <c r="AA261" s="181" t="n"/>
      <c r="AB261" s="181" t="n"/>
    </row>
    <row r="262">
      <c r="A262" s="181" t="n"/>
      <c r="B262" s="181" t="n"/>
      <c r="C262" s="181" t="n"/>
      <c r="D262" s="181" t="n"/>
      <c r="E262" s="181" t="n"/>
      <c r="F262" s="204" t="n"/>
      <c r="G262" s="204" t="n"/>
      <c r="H262" s="204" t="n"/>
      <c r="I262" s="204" t="n"/>
      <c r="J262" s="204" t="n"/>
      <c r="K262" s="181" t="n"/>
      <c r="L262" s="181" t="n"/>
      <c r="M262" s="181" t="n"/>
      <c r="N262" s="181" t="n"/>
      <c r="O262" s="181" t="n"/>
      <c r="P262" s="181" t="n"/>
      <c r="Q262" s="181" t="n"/>
      <c r="R262" s="181" t="n"/>
      <c r="S262" s="181" t="n"/>
      <c r="T262" s="181" t="n"/>
      <c r="U262" s="181" t="n"/>
      <c r="V262" s="181" t="n"/>
      <c r="W262" s="181" t="n"/>
      <c r="X262" s="181" t="n"/>
      <c r="Y262" s="181" t="n"/>
      <c r="Z262" s="181" t="n"/>
      <c r="AA262" s="181" t="n"/>
      <c r="AB262" s="181" t="n"/>
    </row>
    <row r="263">
      <c r="A263" s="181" t="n"/>
      <c r="B263" s="181" t="n"/>
      <c r="C263" s="181" t="n"/>
      <c r="D263" s="181" t="n"/>
      <c r="E263" s="181" t="n"/>
      <c r="F263" s="204" t="n"/>
      <c r="G263" s="204" t="n"/>
      <c r="H263" s="204" t="n"/>
      <c r="I263" s="204" t="n"/>
      <c r="J263" s="204" t="n"/>
      <c r="K263" s="181" t="n"/>
      <c r="L263" s="181" t="n"/>
      <c r="M263" s="181" t="n"/>
      <c r="N263" s="181" t="n"/>
      <c r="O263" s="181" t="n"/>
      <c r="P263" s="181" t="n"/>
      <c r="Q263" s="181" t="n"/>
      <c r="R263" s="181" t="n"/>
      <c r="S263" s="181" t="n"/>
      <c r="T263" s="181" t="n"/>
      <c r="U263" s="181" t="n"/>
      <c r="V263" s="181" t="n"/>
      <c r="W263" s="181" t="n"/>
      <c r="X263" s="181" t="n"/>
      <c r="Y263" s="181" t="n"/>
      <c r="Z263" s="181" t="n"/>
      <c r="AA263" s="181" t="n"/>
      <c r="AB263" s="181" t="n"/>
    </row>
    <row r="264">
      <c r="A264" s="181" t="n"/>
      <c r="B264" s="181" t="n"/>
      <c r="C264" s="181" t="n"/>
      <c r="D264" s="181" t="n"/>
      <c r="E264" s="181" t="n"/>
      <c r="F264" s="204" t="n"/>
      <c r="G264" s="204" t="n"/>
      <c r="H264" s="204" t="n"/>
      <c r="I264" s="204" t="n"/>
      <c r="J264" s="204" t="n"/>
      <c r="K264" s="181" t="n"/>
      <c r="L264" s="181" t="n"/>
      <c r="M264" s="181" t="n"/>
      <c r="N264" s="181" t="n"/>
      <c r="O264" s="181" t="n"/>
      <c r="P264" s="181" t="n"/>
      <c r="Q264" s="181" t="n"/>
      <c r="R264" s="181" t="n"/>
      <c r="S264" s="181" t="n"/>
      <c r="T264" s="181" t="n"/>
      <c r="U264" s="181" t="n"/>
      <c r="V264" s="181" t="n"/>
      <c r="W264" s="181" t="n"/>
      <c r="X264" s="181" t="n"/>
      <c r="Y264" s="181" t="n"/>
      <c r="Z264" s="181" t="n"/>
      <c r="AA264" s="181" t="n"/>
      <c r="AB264" s="181" t="n"/>
    </row>
    <row r="265">
      <c r="A265" s="181" t="n"/>
      <c r="B265" s="181" t="n"/>
      <c r="C265" s="181" t="n"/>
      <c r="D265" s="181" t="n"/>
      <c r="E265" s="181" t="n"/>
      <c r="F265" s="204" t="n"/>
      <c r="G265" s="204" t="n"/>
      <c r="H265" s="204" t="n"/>
      <c r="I265" s="204" t="n"/>
      <c r="J265" s="204" t="n"/>
      <c r="K265" s="181" t="n"/>
      <c r="L265" s="181" t="n"/>
      <c r="M265" s="181" t="n"/>
      <c r="N265" s="181" t="n"/>
      <c r="O265" s="181" t="n"/>
      <c r="P265" s="181" t="n"/>
      <c r="Q265" s="181" t="n"/>
      <c r="R265" s="181" t="n"/>
      <c r="S265" s="181" t="n"/>
      <c r="T265" s="181" t="n"/>
      <c r="U265" s="181" t="n"/>
      <c r="V265" s="181" t="n"/>
      <c r="W265" s="181" t="n"/>
      <c r="X265" s="181" t="n"/>
      <c r="Y265" s="181" t="n"/>
      <c r="Z265" s="181" t="n"/>
      <c r="AA265" s="181" t="n"/>
      <c r="AB265" s="181" t="n"/>
    </row>
    <row r="266">
      <c r="A266" s="181" t="n"/>
      <c r="B266" s="181" t="n"/>
      <c r="C266" s="181" t="n"/>
      <c r="D266" s="181" t="n"/>
      <c r="E266" s="181" t="n"/>
      <c r="F266" s="204" t="n"/>
      <c r="G266" s="204" t="n"/>
      <c r="H266" s="204" t="n"/>
      <c r="I266" s="204" t="n"/>
      <c r="J266" s="204" t="n"/>
      <c r="K266" s="181" t="n"/>
      <c r="L266" s="181" t="n"/>
      <c r="M266" s="181" t="n"/>
      <c r="N266" s="181" t="n"/>
      <c r="O266" s="181" t="n"/>
      <c r="P266" s="181" t="n"/>
      <c r="Q266" s="181" t="n"/>
      <c r="R266" s="181" t="n"/>
      <c r="S266" s="181" t="n"/>
      <c r="T266" s="181" t="n"/>
      <c r="U266" s="181" t="n"/>
      <c r="V266" s="181" t="n"/>
      <c r="W266" s="181" t="n"/>
      <c r="X266" s="181" t="n"/>
      <c r="Y266" s="181" t="n"/>
      <c r="Z266" s="181" t="n"/>
      <c r="AA266" s="181" t="n"/>
      <c r="AB266" s="181" t="n"/>
    </row>
    <row r="267">
      <c r="A267" s="181" t="n"/>
      <c r="B267" s="181" t="n"/>
      <c r="C267" s="181" t="n"/>
      <c r="D267" s="181" t="n"/>
      <c r="E267" s="181" t="n"/>
      <c r="F267" s="204" t="n"/>
      <c r="G267" s="204" t="n"/>
      <c r="H267" s="204" t="n"/>
      <c r="I267" s="204" t="n"/>
      <c r="J267" s="204" t="n"/>
      <c r="K267" s="181" t="n"/>
      <c r="L267" s="181" t="n"/>
      <c r="M267" s="181" t="n"/>
      <c r="N267" s="181" t="n"/>
      <c r="O267" s="181" t="n"/>
      <c r="P267" s="181" t="n"/>
      <c r="Q267" s="181" t="n"/>
      <c r="R267" s="181" t="n"/>
      <c r="S267" s="181" t="n"/>
      <c r="T267" s="181" t="n"/>
      <c r="U267" s="181" t="n"/>
      <c r="V267" s="181" t="n"/>
      <c r="W267" s="181" t="n"/>
      <c r="X267" s="181" t="n"/>
      <c r="Y267" s="181" t="n"/>
      <c r="Z267" s="181" t="n"/>
      <c r="AA267" s="181" t="n"/>
      <c r="AB267" s="181" t="n"/>
    </row>
    <row r="268">
      <c r="A268" s="181" t="n"/>
      <c r="B268" s="181" t="n"/>
      <c r="C268" s="181" t="n"/>
      <c r="D268" s="181" t="n"/>
      <c r="E268" s="181" t="n"/>
      <c r="F268" s="204" t="n"/>
      <c r="G268" s="204" t="n"/>
      <c r="H268" s="204" t="n"/>
      <c r="I268" s="204" t="n"/>
      <c r="J268" s="204" t="n"/>
      <c r="K268" s="181" t="n"/>
      <c r="L268" s="181" t="n"/>
      <c r="M268" s="181" t="n"/>
      <c r="N268" s="181" t="n"/>
      <c r="O268" s="181" t="n"/>
      <c r="P268" s="181" t="n"/>
      <c r="Q268" s="181" t="n"/>
      <c r="R268" s="181" t="n"/>
      <c r="S268" s="181" t="n"/>
      <c r="T268" s="181" t="n"/>
      <c r="U268" s="181" t="n"/>
      <c r="V268" s="181" t="n"/>
      <c r="W268" s="181" t="n"/>
      <c r="X268" s="181" t="n"/>
      <c r="Y268" s="181" t="n"/>
      <c r="Z268" s="181" t="n"/>
      <c r="AA268" s="181" t="n"/>
      <c r="AB268" s="181" t="n"/>
    </row>
    <row r="269">
      <c r="A269" s="181" t="n"/>
      <c r="B269" s="181" t="n"/>
      <c r="C269" s="181" t="n"/>
      <c r="D269" s="181" t="n"/>
      <c r="E269" s="181" t="n"/>
      <c r="F269" s="204" t="n"/>
      <c r="G269" s="204" t="n"/>
      <c r="H269" s="204" t="n"/>
      <c r="I269" s="204" t="n"/>
      <c r="J269" s="204" t="n"/>
      <c r="K269" s="181" t="n"/>
      <c r="L269" s="181" t="n"/>
      <c r="M269" s="181" t="n"/>
      <c r="N269" s="181" t="n"/>
      <c r="O269" s="181" t="n"/>
      <c r="P269" s="181" t="n"/>
      <c r="Q269" s="181" t="n"/>
      <c r="R269" s="181" t="n"/>
      <c r="S269" s="181" t="n"/>
      <c r="T269" s="181" t="n"/>
      <c r="U269" s="181" t="n"/>
      <c r="V269" s="181" t="n"/>
      <c r="W269" s="181" t="n"/>
      <c r="X269" s="181" t="n"/>
      <c r="Y269" s="181" t="n"/>
      <c r="Z269" s="181" t="n"/>
      <c r="AA269" s="181" t="n"/>
      <c r="AB269" s="181" t="n"/>
    </row>
    <row r="270">
      <c r="A270" s="181" t="n"/>
      <c r="B270" s="181" t="n"/>
      <c r="C270" s="181" t="n"/>
      <c r="D270" s="181" t="n"/>
      <c r="E270" s="181" t="n"/>
      <c r="F270" s="204" t="n"/>
      <c r="G270" s="204" t="n"/>
      <c r="H270" s="204" t="n"/>
      <c r="I270" s="204" t="n"/>
      <c r="J270" s="204" t="n"/>
      <c r="K270" s="181" t="n"/>
      <c r="L270" s="181" t="n"/>
      <c r="M270" s="181" t="n"/>
      <c r="N270" s="181" t="n"/>
      <c r="O270" s="181" t="n"/>
      <c r="P270" s="181" t="n"/>
      <c r="Q270" s="181" t="n"/>
      <c r="R270" s="181" t="n"/>
      <c r="S270" s="181" t="n"/>
      <c r="T270" s="181" t="n"/>
      <c r="U270" s="181" t="n"/>
      <c r="V270" s="181" t="n"/>
      <c r="W270" s="181" t="n"/>
      <c r="X270" s="181" t="n"/>
      <c r="Y270" s="181" t="n"/>
      <c r="Z270" s="181" t="n"/>
      <c r="AA270" s="181" t="n"/>
      <c r="AB270" s="181" t="n"/>
    </row>
    <row r="271">
      <c r="A271" s="181" t="n"/>
      <c r="B271" s="181" t="n"/>
      <c r="C271" s="181" t="n"/>
      <c r="D271" s="181" t="n"/>
      <c r="E271" s="181" t="n"/>
      <c r="F271" s="204" t="n"/>
      <c r="G271" s="204" t="n"/>
      <c r="H271" s="204" t="n"/>
      <c r="I271" s="204" t="n"/>
      <c r="J271" s="204" t="n"/>
      <c r="K271" s="181" t="n"/>
      <c r="L271" s="181" t="n"/>
      <c r="M271" s="181" t="n"/>
      <c r="N271" s="181" t="n"/>
      <c r="O271" s="181" t="n"/>
      <c r="P271" s="181" t="n"/>
      <c r="Q271" s="181" t="n"/>
      <c r="R271" s="181" t="n"/>
      <c r="S271" s="181" t="n"/>
      <c r="T271" s="181" t="n"/>
      <c r="U271" s="181" t="n"/>
      <c r="V271" s="181" t="n"/>
      <c r="W271" s="181" t="n"/>
      <c r="X271" s="181" t="n"/>
      <c r="Y271" s="181" t="n"/>
      <c r="Z271" s="181" t="n"/>
      <c r="AA271" s="181" t="n"/>
      <c r="AB271" s="181" t="n"/>
    </row>
    <row r="272">
      <c r="A272" s="181" t="n"/>
      <c r="B272" s="181" t="n"/>
      <c r="C272" s="181" t="n"/>
      <c r="D272" s="181" t="n"/>
      <c r="E272" s="181" t="n"/>
      <c r="F272" s="204" t="n"/>
      <c r="G272" s="204" t="n"/>
      <c r="H272" s="204" t="n"/>
      <c r="I272" s="204" t="n"/>
      <c r="J272" s="204" t="n"/>
      <c r="K272" s="181" t="n"/>
      <c r="L272" s="181" t="n"/>
      <c r="M272" s="181" t="n"/>
      <c r="N272" s="181" t="n"/>
      <c r="O272" s="181" t="n"/>
      <c r="P272" s="181" t="n"/>
      <c r="Q272" s="181" t="n"/>
      <c r="R272" s="181" t="n"/>
      <c r="S272" s="181" t="n"/>
      <c r="T272" s="181" t="n"/>
      <c r="U272" s="181" t="n"/>
      <c r="V272" s="181" t="n"/>
      <c r="W272" s="181" t="n"/>
      <c r="X272" s="181" t="n"/>
      <c r="Y272" s="181" t="n"/>
      <c r="Z272" s="181" t="n"/>
      <c r="AA272" s="181" t="n"/>
      <c r="AB272" s="181" t="n"/>
    </row>
    <row r="273">
      <c r="A273" s="181" t="n"/>
      <c r="B273" s="181" t="n"/>
      <c r="C273" s="181" t="n"/>
      <c r="D273" s="181" t="n"/>
      <c r="E273" s="181" t="n"/>
      <c r="F273" s="204" t="n"/>
      <c r="G273" s="204" t="n"/>
      <c r="H273" s="204" t="n"/>
      <c r="I273" s="204" t="n"/>
      <c r="J273" s="204" t="n"/>
      <c r="K273" s="181" t="n"/>
      <c r="L273" s="181" t="n"/>
      <c r="M273" s="181" t="n"/>
      <c r="N273" s="181" t="n"/>
      <c r="O273" s="181" t="n"/>
      <c r="P273" s="181" t="n"/>
      <c r="Q273" s="181" t="n"/>
      <c r="R273" s="181" t="n"/>
      <c r="S273" s="181" t="n"/>
      <c r="T273" s="181" t="n"/>
      <c r="U273" s="181" t="n"/>
      <c r="V273" s="181" t="n"/>
      <c r="W273" s="181" t="n"/>
      <c r="X273" s="181" t="n"/>
      <c r="Y273" s="181" t="n"/>
      <c r="Z273" s="181" t="n"/>
      <c r="AA273" s="181" t="n"/>
      <c r="AB273" s="181" t="n"/>
    </row>
    <row r="274">
      <c r="A274" s="181" t="n"/>
      <c r="B274" s="181" t="n"/>
      <c r="C274" s="181" t="n"/>
      <c r="D274" s="181" t="n"/>
      <c r="E274" s="181" t="n"/>
      <c r="F274" s="204" t="n"/>
      <c r="G274" s="204" t="n"/>
      <c r="H274" s="204" t="n"/>
      <c r="I274" s="204" t="n"/>
      <c r="J274" s="204" t="n"/>
      <c r="K274" s="181" t="n"/>
      <c r="L274" s="181" t="n"/>
      <c r="M274" s="181" t="n"/>
      <c r="N274" s="181" t="n"/>
      <c r="O274" s="181" t="n"/>
      <c r="P274" s="181" t="n"/>
      <c r="Q274" s="181" t="n"/>
      <c r="R274" s="181" t="n"/>
      <c r="S274" s="181" t="n"/>
      <c r="T274" s="181" t="n"/>
      <c r="U274" s="181" t="n"/>
      <c r="V274" s="181" t="n"/>
      <c r="W274" s="181" t="n"/>
      <c r="X274" s="181" t="n"/>
      <c r="Y274" s="181" t="n"/>
      <c r="Z274" s="181" t="n"/>
      <c r="AA274" s="181" t="n"/>
      <c r="AB274" s="181" t="n"/>
    </row>
    <row r="275">
      <c r="A275" s="181" t="n"/>
      <c r="B275" s="181" t="n"/>
      <c r="C275" s="181" t="n"/>
      <c r="D275" s="181" t="n"/>
      <c r="E275" s="181" t="n"/>
      <c r="F275" s="204" t="n"/>
      <c r="G275" s="204" t="n"/>
      <c r="H275" s="204" t="n"/>
      <c r="I275" s="204" t="n"/>
      <c r="J275" s="204" t="n"/>
      <c r="K275" s="181" t="n"/>
      <c r="L275" s="181" t="n"/>
      <c r="M275" s="181" t="n"/>
      <c r="N275" s="181" t="n"/>
      <c r="O275" s="181" t="n"/>
      <c r="P275" s="181" t="n"/>
      <c r="Q275" s="181" t="n"/>
      <c r="R275" s="181" t="n"/>
      <c r="S275" s="181" t="n"/>
      <c r="T275" s="181" t="n"/>
      <c r="U275" s="181" t="n"/>
      <c r="V275" s="181" t="n"/>
      <c r="W275" s="181" t="n"/>
      <c r="X275" s="181" t="n"/>
      <c r="Y275" s="181" t="n"/>
      <c r="Z275" s="181" t="n"/>
      <c r="AA275" s="181" t="n"/>
      <c r="AB275" s="181" t="n"/>
    </row>
    <row r="276">
      <c r="A276" s="181" t="n"/>
      <c r="B276" s="181" t="n"/>
      <c r="C276" s="181" t="n"/>
      <c r="D276" s="181" t="n"/>
      <c r="E276" s="181" t="n"/>
      <c r="F276" s="204" t="n"/>
      <c r="G276" s="204" t="n"/>
      <c r="H276" s="204" t="n"/>
      <c r="I276" s="204" t="n"/>
      <c r="J276" s="204" t="n"/>
      <c r="K276" s="181" t="n"/>
      <c r="L276" s="181" t="n"/>
      <c r="M276" s="181" t="n"/>
      <c r="N276" s="181" t="n"/>
      <c r="O276" s="181" t="n"/>
      <c r="P276" s="181" t="n"/>
      <c r="Q276" s="181" t="n"/>
      <c r="R276" s="181" t="n"/>
      <c r="S276" s="181" t="n"/>
      <c r="T276" s="181" t="n"/>
      <c r="U276" s="181" t="n"/>
      <c r="V276" s="181" t="n"/>
      <c r="W276" s="181" t="n"/>
      <c r="X276" s="181" t="n"/>
      <c r="Y276" s="181" t="n"/>
      <c r="Z276" s="181" t="n"/>
      <c r="AA276" s="181" t="n"/>
      <c r="AB276" s="181" t="n"/>
    </row>
    <row r="277">
      <c r="A277" s="181" t="n"/>
      <c r="B277" s="181" t="n"/>
      <c r="C277" s="181" t="n"/>
      <c r="D277" s="181" t="n"/>
      <c r="E277" s="181" t="n"/>
      <c r="F277" s="204" t="n"/>
      <c r="G277" s="204" t="n"/>
      <c r="H277" s="204" t="n"/>
      <c r="I277" s="204" t="n"/>
      <c r="J277" s="204" t="n"/>
      <c r="K277" s="181" t="n"/>
      <c r="L277" s="181" t="n"/>
      <c r="M277" s="181" t="n"/>
      <c r="N277" s="181" t="n"/>
      <c r="O277" s="181" t="n"/>
      <c r="P277" s="181" t="n"/>
      <c r="Q277" s="181" t="n"/>
      <c r="R277" s="181" t="n"/>
      <c r="S277" s="181" t="n"/>
      <c r="T277" s="181" t="n"/>
      <c r="U277" s="181" t="n"/>
      <c r="V277" s="181" t="n"/>
      <c r="W277" s="181" t="n"/>
      <c r="X277" s="181" t="n"/>
      <c r="Y277" s="181" t="n"/>
      <c r="Z277" s="181" t="n"/>
      <c r="AA277" s="181" t="n"/>
      <c r="AB277" s="181" t="n"/>
    </row>
    <row r="278">
      <c r="A278" s="181" t="n"/>
      <c r="B278" s="181" t="n"/>
      <c r="C278" s="181" t="n"/>
      <c r="D278" s="181" t="n"/>
      <c r="E278" s="181" t="n"/>
      <c r="F278" s="204" t="n"/>
      <c r="G278" s="204" t="n"/>
      <c r="H278" s="204" t="n"/>
      <c r="I278" s="204" t="n"/>
      <c r="J278" s="204" t="n"/>
      <c r="K278" s="181" t="n"/>
      <c r="L278" s="181" t="n"/>
      <c r="M278" s="181" t="n"/>
      <c r="N278" s="181" t="n"/>
      <c r="O278" s="181" t="n"/>
      <c r="P278" s="181" t="n"/>
      <c r="Q278" s="181" t="n"/>
      <c r="R278" s="181" t="n"/>
      <c r="S278" s="181" t="n"/>
      <c r="T278" s="181" t="n"/>
      <c r="U278" s="181" t="n"/>
      <c r="V278" s="181" t="n"/>
      <c r="W278" s="181" t="n"/>
      <c r="X278" s="181" t="n"/>
      <c r="Y278" s="181" t="n"/>
      <c r="Z278" s="181" t="n"/>
      <c r="AA278" s="181" t="n"/>
      <c r="AB278" s="181" t="n"/>
    </row>
    <row r="279">
      <c r="A279" s="181" t="n"/>
      <c r="B279" s="181" t="n"/>
      <c r="C279" s="181" t="n"/>
      <c r="D279" s="181" t="n"/>
      <c r="E279" s="181" t="n"/>
      <c r="F279" s="204" t="n"/>
      <c r="G279" s="204" t="n"/>
      <c r="H279" s="204" t="n"/>
      <c r="I279" s="204" t="n"/>
      <c r="J279" s="204" t="n"/>
      <c r="K279" s="181" t="n"/>
      <c r="L279" s="181" t="n"/>
      <c r="M279" s="181" t="n"/>
      <c r="N279" s="181" t="n"/>
      <c r="O279" s="181" t="n"/>
      <c r="P279" s="181" t="n"/>
      <c r="Q279" s="181" t="n"/>
      <c r="R279" s="181" t="n"/>
      <c r="S279" s="181" t="n"/>
      <c r="T279" s="181" t="n"/>
      <c r="U279" s="181" t="n"/>
      <c r="V279" s="181" t="n"/>
      <c r="W279" s="181" t="n"/>
      <c r="X279" s="181" t="n"/>
      <c r="Y279" s="181" t="n"/>
      <c r="Z279" s="181" t="n"/>
      <c r="AA279" s="181" t="n"/>
      <c r="AB279" s="181" t="n"/>
    </row>
    <row r="280">
      <c r="A280" s="181" t="n"/>
      <c r="B280" s="181" t="n"/>
      <c r="C280" s="181" t="n"/>
      <c r="D280" s="181" t="n"/>
      <c r="E280" s="181" t="n"/>
      <c r="F280" s="204" t="n"/>
      <c r="G280" s="204" t="n"/>
      <c r="H280" s="204" t="n"/>
      <c r="I280" s="204" t="n"/>
      <c r="J280" s="204" t="n"/>
      <c r="K280" s="181" t="n"/>
      <c r="L280" s="181" t="n"/>
      <c r="M280" s="181" t="n"/>
      <c r="N280" s="181" t="n"/>
      <c r="O280" s="181" t="n"/>
      <c r="P280" s="181" t="n"/>
      <c r="Q280" s="181" t="n"/>
      <c r="R280" s="181" t="n"/>
      <c r="S280" s="181" t="n"/>
      <c r="T280" s="181" t="n"/>
      <c r="U280" s="181" t="n"/>
      <c r="V280" s="181" t="n"/>
      <c r="W280" s="181" t="n"/>
      <c r="X280" s="181" t="n"/>
      <c r="Y280" s="181" t="n"/>
      <c r="Z280" s="181" t="n"/>
      <c r="AA280" s="181" t="n"/>
      <c r="AB280" s="181" t="n"/>
    </row>
    <row r="281">
      <c r="A281" s="181" t="n"/>
      <c r="B281" s="181" t="n"/>
      <c r="C281" s="181" t="n"/>
      <c r="D281" s="181" t="n"/>
      <c r="E281" s="181" t="n"/>
      <c r="F281" s="204" t="n"/>
      <c r="G281" s="204" t="n"/>
      <c r="H281" s="204" t="n"/>
      <c r="I281" s="204" t="n"/>
      <c r="J281" s="204" t="n"/>
      <c r="K281" s="181" t="n"/>
      <c r="L281" s="181" t="n"/>
      <c r="M281" s="181" t="n"/>
      <c r="N281" s="181" t="n"/>
      <c r="O281" s="181" t="n"/>
      <c r="P281" s="181" t="n"/>
      <c r="Q281" s="181" t="n"/>
      <c r="R281" s="181" t="n"/>
      <c r="S281" s="181" t="n"/>
      <c r="T281" s="181" t="n"/>
      <c r="U281" s="181" t="n"/>
      <c r="V281" s="181" t="n"/>
      <c r="W281" s="181" t="n"/>
      <c r="X281" s="181" t="n"/>
      <c r="Y281" s="181" t="n"/>
      <c r="Z281" s="181" t="n"/>
      <c r="AA281" s="181" t="n"/>
      <c r="AB281" s="181" t="n"/>
    </row>
    <row r="282">
      <c r="A282" s="181" t="n"/>
      <c r="B282" s="181" t="n"/>
      <c r="C282" s="181" t="n"/>
      <c r="D282" s="181" t="n"/>
      <c r="E282" s="181" t="n"/>
      <c r="F282" s="204" t="n"/>
      <c r="G282" s="204" t="n"/>
      <c r="H282" s="204" t="n"/>
      <c r="I282" s="204" t="n"/>
      <c r="J282" s="204" t="n"/>
      <c r="K282" s="181" t="n"/>
      <c r="L282" s="181" t="n"/>
      <c r="M282" s="181" t="n"/>
      <c r="N282" s="181" t="n"/>
      <c r="O282" s="181" t="n"/>
      <c r="P282" s="181" t="n"/>
      <c r="Q282" s="181" t="n"/>
      <c r="R282" s="181" t="n"/>
      <c r="S282" s="181" t="n"/>
      <c r="T282" s="181" t="n"/>
      <c r="U282" s="181" t="n"/>
      <c r="V282" s="181" t="n"/>
      <c r="W282" s="181" t="n"/>
      <c r="X282" s="181" t="n"/>
      <c r="Y282" s="181" t="n"/>
      <c r="Z282" s="181" t="n"/>
      <c r="AA282" s="181" t="n"/>
      <c r="AB282" s="181" t="n"/>
    </row>
    <row r="283">
      <c r="A283" s="181" t="n"/>
      <c r="B283" s="181" t="n"/>
      <c r="C283" s="181" t="n"/>
      <c r="D283" s="181" t="n"/>
      <c r="E283" s="181" t="n"/>
      <c r="F283" s="204" t="n"/>
      <c r="G283" s="204" t="n"/>
      <c r="H283" s="204" t="n"/>
      <c r="I283" s="204" t="n"/>
      <c r="J283" s="204" t="n"/>
      <c r="K283" s="181" t="n"/>
      <c r="L283" s="181" t="n"/>
      <c r="M283" s="181" t="n"/>
      <c r="N283" s="181" t="n"/>
      <c r="O283" s="181" t="n"/>
      <c r="P283" s="181" t="n"/>
      <c r="Q283" s="181" t="n"/>
      <c r="R283" s="181" t="n"/>
      <c r="S283" s="181" t="n"/>
      <c r="T283" s="181" t="n"/>
      <c r="U283" s="181" t="n"/>
      <c r="V283" s="181" t="n"/>
      <c r="W283" s="181" t="n"/>
      <c r="X283" s="181" t="n"/>
      <c r="Y283" s="181" t="n"/>
      <c r="Z283" s="181" t="n"/>
      <c r="AA283" s="181" t="n"/>
      <c r="AB283" s="181" t="n"/>
    </row>
    <row r="284">
      <c r="A284" s="181" t="n"/>
      <c r="B284" s="181" t="n"/>
      <c r="C284" s="181" t="n"/>
      <c r="D284" s="181" t="n"/>
      <c r="E284" s="181" t="n"/>
      <c r="F284" s="204" t="n"/>
      <c r="G284" s="204" t="n"/>
      <c r="H284" s="204" t="n"/>
      <c r="I284" s="204" t="n"/>
      <c r="J284" s="204" t="n"/>
      <c r="K284" s="181" t="n"/>
      <c r="L284" s="181" t="n"/>
      <c r="M284" s="181" t="n"/>
      <c r="N284" s="181" t="n"/>
      <c r="O284" s="181" t="n"/>
      <c r="P284" s="181" t="n"/>
      <c r="Q284" s="181" t="n"/>
      <c r="R284" s="181" t="n"/>
      <c r="S284" s="181" t="n"/>
      <c r="T284" s="181" t="n"/>
      <c r="U284" s="181" t="n"/>
      <c r="V284" s="181" t="n"/>
      <c r="W284" s="181" t="n"/>
      <c r="X284" s="181" t="n"/>
      <c r="Y284" s="181" t="n"/>
      <c r="Z284" s="181" t="n"/>
      <c r="AA284" s="181" t="n"/>
      <c r="AB284" s="181" t="n"/>
    </row>
    <row r="285">
      <c r="A285" s="181" t="n"/>
      <c r="B285" s="181" t="n"/>
      <c r="C285" s="181" t="n"/>
      <c r="D285" s="181" t="n"/>
      <c r="E285" s="181" t="n"/>
      <c r="F285" s="204" t="n"/>
      <c r="G285" s="204" t="n"/>
      <c r="H285" s="204" t="n"/>
      <c r="I285" s="204" t="n"/>
      <c r="J285" s="204" t="n"/>
      <c r="K285" s="181" t="n"/>
      <c r="L285" s="181" t="n"/>
      <c r="M285" s="181" t="n"/>
      <c r="N285" s="181" t="n"/>
      <c r="O285" s="181" t="n"/>
      <c r="P285" s="181" t="n"/>
      <c r="Q285" s="181" t="n"/>
      <c r="R285" s="181" t="n"/>
      <c r="S285" s="181" t="n"/>
      <c r="T285" s="181" t="n"/>
      <c r="U285" s="181" t="n"/>
      <c r="V285" s="181" t="n"/>
      <c r="W285" s="181" t="n"/>
      <c r="X285" s="181" t="n"/>
      <c r="Y285" s="181" t="n"/>
      <c r="Z285" s="181" t="n"/>
      <c r="AA285" s="181" t="n"/>
      <c r="AB285" s="181" t="n"/>
    </row>
    <row r="286">
      <c r="A286" s="181" t="n"/>
      <c r="B286" s="181" t="n"/>
      <c r="C286" s="181" t="n"/>
      <c r="D286" s="181" t="n"/>
      <c r="E286" s="181" t="n"/>
      <c r="F286" s="204" t="n"/>
      <c r="G286" s="204" t="n"/>
      <c r="H286" s="204" t="n"/>
      <c r="I286" s="204" t="n"/>
      <c r="J286" s="204" t="n"/>
      <c r="K286" s="181" t="n"/>
      <c r="L286" s="181" t="n"/>
      <c r="M286" s="181" t="n"/>
      <c r="N286" s="181" t="n"/>
      <c r="O286" s="181" t="n"/>
      <c r="P286" s="181" t="n"/>
      <c r="Q286" s="181" t="n"/>
      <c r="R286" s="181" t="n"/>
      <c r="S286" s="181" t="n"/>
      <c r="T286" s="181" t="n"/>
      <c r="U286" s="181" t="n"/>
      <c r="V286" s="181" t="n"/>
      <c r="W286" s="181" t="n"/>
      <c r="X286" s="181" t="n"/>
      <c r="Y286" s="181" t="n"/>
      <c r="Z286" s="181" t="n"/>
      <c r="AA286" s="181" t="n"/>
      <c r="AB286" s="181" t="n"/>
    </row>
    <row r="287">
      <c r="A287" s="181" t="n"/>
      <c r="B287" s="181" t="n"/>
      <c r="C287" s="181" t="n"/>
      <c r="D287" s="181" t="n"/>
      <c r="E287" s="181" t="n"/>
      <c r="F287" s="204" t="n"/>
      <c r="G287" s="204" t="n"/>
      <c r="H287" s="204" t="n"/>
      <c r="I287" s="204" t="n"/>
      <c r="J287" s="204" t="n"/>
      <c r="K287" s="181" t="n"/>
      <c r="L287" s="181" t="n"/>
      <c r="M287" s="181" t="n"/>
      <c r="N287" s="181" t="n"/>
      <c r="O287" s="181" t="n"/>
      <c r="P287" s="181" t="n"/>
      <c r="Q287" s="181" t="n"/>
      <c r="R287" s="181" t="n"/>
      <c r="S287" s="181" t="n"/>
      <c r="T287" s="181" t="n"/>
      <c r="U287" s="181" t="n"/>
      <c r="V287" s="181" t="n"/>
      <c r="W287" s="181" t="n"/>
      <c r="X287" s="181" t="n"/>
      <c r="Y287" s="181" t="n"/>
      <c r="Z287" s="181" t="n"/>
      <c r="AA287" s="181" t="n"/>
      <c r="AB287" s="181" t="n"/>
    </row>
    <row r="288">
      <c r="A288" s="181" t="n"/>
      <c r="B288" s="181" t="n"/>
      <c r="C288" s="181" t="n"/>
      <c r="D288" s="181" t="n"/>
      <c r="E288" s="181" t="n"/>
      <c r="F288" s="204" t="n"/>
      <c r="G288" s="204" t="n"/>
      <c r="H288" s="204" t="n"/>
      <c r="I288" s="204" t="n"/>
      <c r="J288" s="204" t="n"/>
      <c r="K288" s="181" t="n"/>
      <c r="L288" s="181" t="n"/>
      <c r="M288" s="181" t="n"/>
      <c r="N288" s="181" t="n"/>
      <c r="O288" s="181" t="n"/>
      <c r="P288" s="181" t="n"/>
      <c r="Q288" s="181" t="n"/>
      <c r="R288" s="181" t="n"/>
      <c r="S288" s="181" t="n"/>
      <c r="T288" s="181" t="n"/>
      <c r="U288" s="181" t="n"/>
      <c r="V288" s="181" t="n"/>
      <c r="W288" s="181" t="n"/>
      <c r="X288" s="181" t="n"/>
      <c r="Y288" s="181" t="n"/>
      <c r="Z288" s="181" t="n"/>
      <c r="AA288" s="181" t="n"/>
      <c r="AB288" s="181" t="n"/>
    </row>
    <row r="289">
      <c r="A289" s="181" t="n"/>
      <c r="B289" s="181" t="n"/>
      <c r="C289" s="181" t="n"/>
      <c r="D289" s="181" t="n"/>
      <c r="E289" s="181" t="n"/>
      <c r="F289" s="204" t="n"/>
      <c r="G289" s="204" t="n"/>
      <c r="H289" s="204" t="n"/>
      <c r="I289" s="204" t="n"/>
      <c r="J289" s="204" t="n"/>
      <c r="K289" s="181" t="n"/>
      <c r="L289" s="181" t="n"/>
      <c r="M289" s="181" t="n"/>
      <c r="N289" s="181" t="n"/>
      <c r="O289" s="181" t="n"/>
      <c r="P289" s="181" t="n"/>
      <c r="Q289" s="181" t="n"/>
      <c r="R289" s="181" t="n"/>
      <c r="S289" s="181" t="n"/>
      <c r="T289" s="181" t="n"/>
      <c r="U289" s="181" t="n"/>
      <c r="V289" s="181" t="n"/>
      <c r="W289" s="181" t="n"/>
      <c r="X289" s="181" t="n"/>
      <c r="Y289" s="181" t="n"/>
      <c r="Z289" s="181" t="n"/>
      <c r="AA289" s="181" t="n"/>
      <c r="AB289" s="181" t="n"/>
    </row>
    <row r="290">
      <c r="A290" s="181" t="n"/>
      <c r="B290" s="181" t="n"/>
      <c r="C290" s="181" t="n"/>
      <c r="D290" s="181" t="n"/>
      <c r="E290" s="181" t="n"/>
      <c r="F290" s="204" t="n"/>
      <c r="G290" s="204" t="n"/>
      <c r="H290" s="204" t="n"/>
      <c r="I290" s="204" t="n"/>
      <c r="J290" s="204" t="n"/>
      <c r="K290" s="181" t="n"/>
      <c r="L290" s="181" t="n"/>
      <c r="M290" s="181" t="n"/>
      <c r="N290" s="181" t="n"/>
      <c r="O290" s="181" t="n"/>
      <c r="P290" s="181" t="n"/>
      <c r="Q290" s="181" t="n"/>
      <c r="R290" s="181" t="n"/>
      <c r="S290" s="181" t="n"/>
      <c r="T290" s="181" t="n"/>
      <c r="U290" s="181" t="n"/>
      <c r="V290" s="181" t="n"/>
      <c r="W290" s="181" t="n"/>
      <c r="X290" s="181" t="n"/>
      <c r="Y290" s="181" t="n"/>
      <c r="Z290" s="181" t="n"/>
      <c r="AA290" s="181" t="n"/>
      <c r="AB290" s="181" t="n"/>
    </row>
    <row r="291">
      <c r="A291" s="181" t="n"/>
      <c r="B291" s="181" t="n"/>
      <c r="C291" s="181" t="n"/>
      <c r="D291" s="181" t="n"/>
      <c r="E291" s="181" t="n"/>
      <c r="F291" s="204" t="n"/>
      <c r="G291" s="204" t="n"/>
      <c r="H291" s="204" t="n"/>
      <c r="I291" s="204" t="n"/>
      <c r="J291" s="204" t="n"/>
      <c r="K291" s="181" t="n"/>
      <c r="L291" s="181" t="n"/>
      <c r="M291" s="181" t="n"/>
      <c r="N291" s="181" t="n"/>
      <c r="O291" s="181" t="n"/>
      <c r="P291" s="181" t="n"/>
      <c r="Q291" s="181" t="n"/>
      <c r="R291" s="181" t="n"/>
      <c r="S291" s="181" t="n"/>
      <c r="T291" s="181" t="n"/>
      <c r="U291" s="181" t="n"/>
      <c r="V291" s="181" t="n"/>
      <c r="W291" s="181" t="n"/>
      <c r="X291" s="181" t="n"/>
      <c r="Y291" s="181" t="n"/>
      <c r="Z291" s="181" t="n"/>
      <c r="AA291" s="181" t="n"/>
      <c r="AB291" s="181" t="n"/>
    </row>
    <row r="292">
      <c r="A292" s="181" t="n"/>
      <c r="B292" s="181" t="n"/>
      <c r="C292" s="181" t="n"/>
      <c r="D292" s="181" t="n"/>
      <c r="E292" s="181" t="n"/>
      <c r="F292" s="204" t="n"/>
      <c r="G292" s="204" t="n"/>
      <c r="H292" s="204" t="n"/>
      <c r="I292" s="204" t="n"/>
      <c r="J292" s="204" t="n"/>
      <c r="K292" s="181" t="n"/>
      <c r="L292" s="181" t="n"/>
      <c r="M292" s="181" t="n"/>
      <c r="N292" s="181" t="n"/>
      <c r="O292" s="181" t="n"/>
      <c r="P292" s="181" t="n"/>
      <c r="Q292" s="181" t="n"/>
      <c r="R292" s="181" t="n"/>
      <c r="S292" s="181" t="n"/>
      <c r="T292" s="181" t="n"/>
      <c r="U292" s="181" t="n"/>
      <c r="V292" s="181" t="n"/>
      <c r="W292" s="181" t="n"/>
      <c r="X292" s="181" t="n"/>
      <c r="Y292" s="181" t="n"/>
      <c r="Z292" s="181" t="n"/>
      <c r="AA292" s="181" t="n"/>
      <c r="AB292" s="181" t="n"/>
    </row>
    <row r="293">
      <c r="A293" s="181" t="n"/>
      <c r="B293" s="181" t="n"/>
      <c r="C293" s="181" t="n"/>
      <c r="D293" s="181" t="n"/>
      <c r="E293" s="181" t="n"/>
      <c r="F293" s="204" t="n"/>
      <c r="G293" s="204" t="n"/>
      <c r="H293" s="204" t="n"/>
      <c r="I293" s="204" t="n"/>
      <c r="J293" s="204" t="n"/>
      <c r="K293" s="181" t="n"/>
      <c r="L293" s="181" t="n"/>
      <c r="M293" s="181" t="n"/>
      <c r="N293" s="181" t="n"/>
      <c r="O293" s="181" t="n"/>
      <c r="P293" s="181" t="n"/>
      <c r="Q293" s="181" t="n"/>
      <c r="R293" s="181" t="n"/>
      <c r="S293" s="181" t="n"/>
      <c r="T293" s="181" t="n"/>
      <c r="U293" s="181" t="n"/>
      <c r="V293" s="181" t="n"/>
      <c r="W293" s="181" t="n"/>
      <c r="X293" s="181" t="n"/>
      <c r="Y293" s="181" t="n"/>
      <c r="Z293" s="181" t="n"/>
      <c r="AA293" s="181" t="n"/>
      <c r="AB293" s="181" t="n"/>
    </row>
    <row r="294">
      <c r="A294" s="181" t="n"/>
      <c r="B294" s="181" t="n"/>
      <c r="C294" s="181" t="n"/>
      <c r="D294" s="181" t="n"/>
      <c r="E294" s="181" t="n"/>
      <c r="F294" s="204" t="n"/>
      <c r="G294" s="204" t="n"/>
      <c r="H294" s="204" t="n"/>
      <c r="I294" s="204" t="n"/>
      <c r="J294" s="204" t="n"/>
      <c r="K294" s="181" t="n"/>
      <c r="L294" s="181" t="n"/>
      <c r="M294" s="181" t="n"/>
      <c r="N294" s="181" t="n"/>
      <c r="O294" s="181" t="n"/>
      <c r="P294" s="181" t="n"/>
      <c r="Q294" s="181" t="n"/>
      <c r="R294" s="181" t="n"/>
      <c r="S294" s="181" t="n"/>
      <c r="T294" s="181" t="n"/>
      <c r="U294" s="181" t="n"/>
      <c r="V294" s="181" t="n"/>
      <c r="W294" s="181" t="n"/>
      <c r="X294" s="181" t="n"/>
      <c r="Y294" s="181" t="n"/>
      <c r="Z294" s="181" t="n"/>
      <c r="AA294" s="181" t="n"/>
      <c r="AB294" s="181" t="n"/>
    </row>
    <row r="295">
      <c r="A295" s="181" t="n"/>
      <c r="B295" s="181" t="n"/>
      <c r="C295" s="181" t="n"/>
      <c r="D295" s="181" t="n"/>
      <c r="E295" s="181" t="n"/>
      <c r="F295" s="204" t="n"/>
      <c r="G295" s="204" t="n"/>
      <c r="H295" s="204" t="n"/>
      <c r="I295" s="204" t="n"/>
      <c r="J295" s="204" t="n"/>
      <c r="K295" s="181" t="n"/>
      <c r="L295" s="181" t="n"/>
      <c r="M295" s="181" t="n"/>
      <c r="N295" s="181" t="n"/>
      <c r="O295" s="181" t="n"/>
      <c r="P295" s="181" t="n"/>
      <c r="Q295" s="181" t="n"/>
      <c r="R295" s="181" t="n"/>
      <c r="S295" s="181" t="n"/>
      <c r="T295" s="181" t="n"/>
      <c r="U295" s="181" t="n"/>
      <c r="V295" s="181" t="n"/>
      <c r="W295" s="181" t="n"/>
      <c r="X295" s="181" t="n"/>
      <c r="Y295" s="181" t="n"/>
      <c r="Z295" s="181" t="n"/>
      <c r="AA295" s="181" t="n"/>
      <c r="AB295" s="181" t="n"/>
    </row>
    <row r="296">
      <c r="A296" s="181" t="n"/>
      <c r="B296" s="181" t="n"/>
      <c r="C296" s="181" t="n"/>
      <c r="D296" s="181" t="n"/>
      <c r="E296" s="181" t="n"/>
      <c r="F296" s="204" t="n"/>
      <c r="G296" s="204" t="n"/>
      <c r="H296" s="204" t="n"/>
      <c r="I296" s="204" t="n"/>
      <c r="J296" s="204" t="n"/>
      <c r="K296" s="181" t="n"/>
      <c r="L296" s="181" t="n"/>
      <c r="M296" s="181" t="n"/>
      <c r="N296" s="181" t="n"/>
      <c r="O296" s="181" t="n"/>
      <c r="P296" s="181" t="n"/>
      <c r="Q296" s="181" t="n"/>
      <c r="R296" s="181" t="n"/>
      <c r="S296" s="181" t="n"/>
      <c r="T296" s="181" t="n"/>
      <c r="U296" s="181" t="n"/>
      <c r="V296" s="181" t="n"/>
      <c r="W296" s="181" t="n"/>
      <c r="X296" s="181" t="n"/>
      <c r="Y296" s="181" t="n"/>
      <c r="Z296" s="181" t="n"/>
      <c r="AA296" s="181" t="n"/>
      <c r="AB296" s="181" t="n"/>
    </row>
    <row r="297">
      <c r="A297" s="181" t="n"/>
      <c r="B297" s="181" t="n"/>
      <c r="C297" s="181" t="n"/>
      <c r="D297" s="181" t="n"/>
      <c r="E297" s="181" t="n"/>
      <c r="F297" s="204" t="n"/>
      <c r="G297" s="204" t="n"/>
      <c r="H297" s="204" t="n"/>
      <c r="I297" s="204" t="n"/>
      <c r="J297" s="204" t="n"/>
      <c r="K297" s="181" t="n"/>
      <c r="L297" s="181" t="n"/>
      <c r="M297" s="181" t="n"/>
      <c r="N297" s="181" t="n"/>
      <c r="O297" s="181" t="n"/>
      <c r="P297" s="181" t="n"/>
      <c r="Q297" s="181" t="n"/>
      <c r="R297" s="181" t="n"/>
      <c r="S297" s="181" t="n"/>
      <c r="T297" s="181" t="n"/>
      <c r="U297" s="181" t="n"/>
      <c r="V297" s="181" t="n"/>
      <c r="W297" s="181" t="n"/>
      <c r="X297" s="181" t="n"/>
      <c r="Y297" s="181" t="n"/>
      <c r="Z297" s="181" t="n"/>
      <c r="AA297" s="181" t="n"/>
      <c r="AB297" s="181" t="n"/>
    </row>
    <row r="298">
      <c r="A298" s="181" t="n"/>
      <c r="B298" s="181" t="n"/>
      <c r="C298" s="181" t="n"/>
      <c r="D298" s="181" t="n"/>
      <c r="E298" s="181" t="n"/>
      <c r="F298" s="204" t="n"/>
      <c r="G298" s="204" t="n"/>
      <c r="H298" s="204" t="n"/>
      <c r="I298" s="204" t="n"/>
      <c r="J298" s="204" t="n"/>
      <c r="K298" s="181" t="n"/>
      <c r="L298" s="181" t="n"/>
      <c r="M298" s="181" t="n"/>
      <c r="N298" s="181" t="n"/>
      <c r="O298" s="181" t="n"/>
      <c r="P298" s="181" t="n"/>
      <c r="Q298" s="181" t="n"/>
      <c r="R298" s="181" t="n"/>
      <c r="S298" s="181" t="n"/>
      <c r="T298" s="181" t="n"/>
      <c r="U298" s="181" t="n"/>
      <c r="V298" s="181" t="n"/>
      <c r="W298" s="181" t="n"/>
      <c r="X298" s="181" t="n"/>
      <c r="Y298" s="181" t="n"/>
      <c r="Z298" s="181" t="n"/>
      <c r="AA298" s="181" t="n"/>
      <c r="AB298" s="181" t="n"/>
    </row>
    <row r="299">
      <c r="A299" s="181" t="n"/>
      <c r="B299" s="181" t="n"/>
      <c r="C299" s="181" t="n"/>
      <c r="D299" s="181" t="n"/>
      <c r="E299" s="181" t="n"/>
      <c r="F299" s="204" t="n"/>
      <c r="G299" s="204" t="n"/>
      <c r="H299" s="204" t="n"/>
      <c r="I299" s="204" t="n"/>
      <c r="J299" s="204" t="n"/>
      <c r="K299" s="181" t="n"/>
      <c r="L299" s="181" t="n"/>
      <c r="M299" s="181" t="n"/>
      <c r="N299" s="181" t="n"/>
      <c r="O299" s="181" t="n"/>
      <c r="P299" s="181" t="n"/>
      <c r="Q299" s="181" t="n"/>
      <c r="R299" s="181" t="n"/>
      <c r="S299" s="181" t="n"/>
      <c r="T299" s="181" t="n"/>
      <c r="U299" s="181" t="n"/>
      <c r="V299" s="181" t="n"/>
      <c r="W299" s="181" t="n"/>
      <c r="X299" s="181" t="n"/>
      <c r="Y299" s="181" t="n"/>
      <c r="Z299" s="181" t="n"/>
      <c r="AA299" s="181" t="n"/>
      <c r="AB299" s="181" t="n"/>
    </row>
    <row r="300">
      <c r="A300" s="181" t="n"/>
      <c r="B300" s="181" t="n"/>
      <c r="C300" s="181" t="n"/>
      <c r="D300" s="181" t="n"/>
      <c r="E300" s="181" t="n"/>
      <c r="F300" s="204" t="n"/>
      <c r="G300" s="204" t="n"/>
      <c r="H300" s="204" t="n"/>
      <c r="I300" s="204" t="n"/>
      <c r="J300" s="204" t="n"/>
      <c r="K300" s="181" t="n"/>
      <c r="L300" s="181" t="n"/>
      <c r="M300" s="181" t="n"/>
      <c r="N300" s="181" t="n"/>
      <c r="O300" s="181" t="n"/>
      <c r="P300" s="181" t="n"/>
      <c r="Q300" s="181" t="n"/>
      <c r="R300" s="181" t="n"/>
      <c r="S300" s="181" t="n"/>
      <c r="T300" s="181" t="n"/>
      <c r="U300" s="181" t="n"/>
      <c r="V300" s="181" t="n"/>
      <c r="W300" s="181" t="n"/>
      <c r="X300" s="181" t="n"/>
      <c r="Y300" s="181" t="n"/>
      <c r="Z300" s="181" t="n"/>
      <c r="AA300" s="181" t="n"/>
      <c r="AB300" s="181" t="n"/>
    </row>
    <row r="301">
      <c r="A301" s="181" t="n"/>
      <c r="B301" s="181" t="n"/>
      <c r="C301" s="181" t="n"/>
      <c r="D301" s="181" t="n"/>
      <c r="E301" s="181" t="n"/>
      <c r="F301" s="204" t="n"/>
      <c r="G301" s="204" t="n"/>
      <c r="H301" s="204" t="n"/>
      <c r="I301" s="204" t="n"/>
      <c r="J301" s="204" t="n"/>
      <c r="K301" s="181" t="n"/>
      <c r="L301" s="181" t="n"/>
      <c r="M301" s="181" t="n"/>
      <c r="N301" s="181" t="n"/>
      <c r="O301" s="181" t="n"/>
      <c r="P301" s="181" t="n"/>
      <c r="Q301" s="181" t="n"/>
      <c r="R301" s="181" t="n"/>
      <c r="S301" s="181" t="n"/>
      <c r="T301" s="181" t="n"/>
      <c r="U301" s="181" t="n"/>
      <c r="V301" s="181" t="n"/>
      <c r="W301" s="181" t="n"/>
      <c r="X301" s="181" t="n"/>
      <c r="Y301" s="181" t="n"/>
      <c r="Z301" s="181" t="n"/>
      <c r="AA301" s="181" t="n"/>
      <c r="AB301" s="181" t="n"/>
    </row>
    <row r="302">
      <c r="A302" s="181" t="n"/>
      <c r="B302" s="181" t="n"/>
      <c r="C302" s="181" t="n"/>
      <c r="D302" s="181" t="n"/>
      <c r="E302" s="181" t="n"/>
      <c r="F302" s="204" t="n"/>
      <c r="G302" s="204" t="n"/>
      <c r="H302" s="204" t="n"/>
      <c r="I302" s="204" t="n"/>
      <c r="J302" s="204" t="n"/>
      <c r="K302" s="181" t="n"/>
      <c r="L302" s="181" t="n"/>
      <c r="M302" s="181" t="n"/>
      <c r="N302" s="181" t="n"/>
      <c r="O302" s="181" t="n"/>
      <c r="P302" s="181" t="n"/>
      <c r="Q302" s="181" t="n"/>
      <c r="R302" s="181" t="n"/>
      <c r="S302" s="181" t="n"/>
      <c r="T302" s="181" t="n"/>
      <c r="U302" s="181" t="n"/>
      <c r="V302" s="181" t="n"/>
      <c r="W302" s="181" t="n"/>
      <c r="X302" s="181" t="n"/>
      <c r="Y302" s="181" t="n"/>
      <c r="Z302" s="181" t="n"/>
      <c r="AA302" s="181" t="n"/>
      <c r="AB302" s="181" t="n"/>
    </row>
    <row r="303">
      <c r="A303" s="181" t="n"/>
      <c r="B303" s="181" t="n"/>
      <c r="C303" s="181" t="n"/>
      <c r="D303" s="181" t="n"/>
      <c r="E303" s="181" t="n"/>
      <c r="F303" s="204" t="n"/>
      <c r="G303" s="204" t="n"/>
      <c r="H303" s="204" t="n"/>
      <c r="I303" s="204" t="n"/>
      <c r="J303" s="204" t="n"/>
      <c r="K303" s="181" t="n"/>
      <c r="L303" s="181" t="n"/>
      <c r="M303" s="181" t="n"/>
      <c r="N303" s="181" t="n"/>
      <c r="O303" s="181" t="n"/>
      <c r="P303" s="181" t="n"/>
      <c r="Q303" s="181" t="n"/>
      <c r="R303" s="181" t="n"/>
      <c r="S303" s="181" t="n"/>
      <c r="T303" s="181" t="n"/>
      <c r="U303" s="181" t="n"/>
      <c r="V303" s="181" t="n"/>
      <c r="W303" s="181" t="n"/>
      <c r="X303" s="181" t="n"/>
      <c r="Y303" s="181" t="n"/>
      <c r="Z303" s="181" t="n"/>
      <c r="AA303" s="181" t="n"/>
      <c r="AB303" s="181" t="n"/>
    </row>
    <row r="304">
      <c r="A304" s="181" t="n"/>
      <c r="B304" s="181" t="n"/>
      <c r="C304" s="181" t="n"/>
      <c r="D304" s="181" t="n"/>
      <c r="E304" s="181" t="n"/>
      <c r="F304" s="204" t="n"/>
      <c r="G304" s="204" t="n"/>
      <c r="H304" s="204" t="n"/>
      <c r="I304" s="204" t="n"/>
      <c r="J304" s="204" t="n"/>
      <c r="K304" s="181" t="n"/>
      <c r="L304" s="181" t="n"/>
      <c r="M304" s="181" t="n"/>
      <c r="N304" s="181" t="n"/>
      <c r="O304" s="181" t="n"/>
      <c r="P304" s="181" t="n"/>
      <c r="Q304" s="181" t="n"/>
      <c r="R304" s="181" t="n"/>
      <c r="S304" s="181" t="n"/>
      <c r="T304" s="181" t="n"/>
      <c r="U304" s="181" t="n"/>
      <c r="V304" s="181" t="n"/>
      <c r="W304" s="181" t="n"/>
      <c r="X304" s="181" t="n"/>
      <c r="Y304" s="181" t="n"/>
      <c r="Z304" s="181" t="n"/>
      <c r="AA304" s="181" t="n"/>
      <c r="AB304" s="181" t="n"/>
    </row>
    <row r="305">
      <c r="A305" s="181" t="n"/>
      <c r="B305" s="181" t="n"/>
      <c r="C305" s="181" t="n"/>
      <c r="D305" s="181" t="n"/>
      <c r="E305" s="181" t="n"/>
      <c r="F305" s="204" t="n"/>
      <c r="G305" s="204" t="n"/>
      <c r="H305" s="204" t="n"/>
      <c r="I305" s="204" t="n"/>
      <c r="J305" s="204" t="n"/>
      <c r="K305" s="181" t="n"/>
      <c r="L305" s="181" t="n"/>
      <c r="M305" s="181" t="n"/>
      <c r="N305" s="181" t="n"/>
      <c r="O305" s="181" t="n"/>
      <c r="P305" s="181" t="n"/>
      <c r="Q305" s="181" t="n"/>
      <c r="R305" s="181" t="n"/>
      <c r="S305" s="181" t="n"/>
      <c r="T305" s="181" t="n"/>
      <c r="U305" s="181" t="n"/>
      <c r="V305" s="181" t="n"/>
      <c r="W305" s="181" t="n"/>
      <c r="X305" s="181" t="n"/>
      <c r="Y305" s="181" t="n"/>
      <c r="Z305" s="181" t="n"/>
      <c r="AA305" s="181" t="n"/>
      <c r="AB305" s="181" t="n"/>
    </row>
    <row r="306">
      <c r="A306" s="181" t="n"/>
      <c r="B306" s="181" t="n"/>
      <c r="C306" s="181" t="n"/>
      <c r="D306" s="181" t="n"/>
      <c r="E306" s="181" t="n"/>
      <c r="F306" s="204" t="n"/>
      <c r="G306" s="204" t="n"/>
      <c r="H306" s="204" t="n"/>
      <c r="I306" s="204" t="n"/>
      <c r="J306" s="204" t="n"/>
      <c r="K306" s="181" t="n"/>
      <c r="L306" s="181" t="n"/>
      <c r="M306" s="181" t="n"/>
      <c r="N306" s="181" t="n"/>
      <c r="O306" s="181" t="n"/>
      <c r="P306" s="181" t="n"/>
      <c r="Q306" s="181" t="n"/>
      <c r="R306" s="181" t="n"/>
      <c r="S306" s="181" t="n"/>
      <c r="T306" s="181" t="n"/>
      <c r="U306" s="181" t="n"/>
      <c r="V306" s="181" t="n"/>
      <c r="W306" s="181" t="n"/>
      <c r="X306" s="181" t="n"/>
      <c r="Y306" s="181" t="n"/>
      <c r="Z306" s="181" t="n"/>
      <c r="AA306" s="181" t="n"/>
      <c r="AB306" s="181" t="n"/>
    </row>
    <row r="307">
      <c r="A307" s="181" t="n"/>
      <c r="B307" s="181" t="n"/>
      <c r="C307" s="181" t="n"/>
      <c r="D307" s="181" t="n"/>
      <c r="E307" s="181" t="n"/>
      <c r="F307" s="204" t="n"/>
      <c r="G307" s="204" t="n"/>
      <c r="H307" s="204" t="n"/>
      <c r="I307" s="204" t="n"/>
      <c r="J307" s="204" t="n"/>
      <c r="K307" s="181" t="n"/>
      <c r="L307" s="181" t="n"/>
      <c r="M307" s="181" t="n"/>
      <c r="N307" s="181" t="n"/>
      <c r="O307" s="181" t="n"/>
      <c r="P307" s="181" t="n"/>
      <c r="Q307" s="181" t="n"/>
      <c r="R307" s="181" t="n"/>
      <c r="S307" s="181" t="n"/>
      <c r="T307" s="181" t="n"/>
      <c r="U307" s="181" t="n"/>
      <c r="V307" s="181" t="n"/>
      <c r="W307" s="181" t="n"/>
      <c r="X307" s="181" t="n"/>
      <c r="Y307" s="181" t="n"/>
      <c r="Z307" s="181" t="n"/>
      <c r="AA307" s="181" t="n"/>
      <c r="AB307" s="181" t="n"/>
    </row>
    <row r="308">
      <c r="A308" s="181" t="n"/>
      <c r="B308" s="181" t="n"/>
      <c r="C308" s="181" t="n"/>
      <c r="D308" s="181" t="n"/>
      <c r="E308" s="181" t="n"/>
      <c r="F308" s="204" t="n"/>
      <c r="G308" s="204" t="n"/>
      <c r="H308" s="204" t="n"/>
      <c r="I308" s="204" t="n"/>
      <c r="J308" s="204" t="n"/>
      <c r="K308" s="181" t="n"/>
      <c r="L308" s="181" t="n"/>
      <c r="M308" s="181" t="n"/>
      <c r="N308" s="181" t="n"/>
      <c r="O308" s="181" t="n"/>
      <c r="P308" s="181" t="n"/>
      <c r="Q308" s="181" t="n"/>
      <c r="R308" s="181" t="n"/>
      <c r="S308" s="181" t="n"/>
      <c r="T308" s="181" t="n"/>
      <c r="U308" s="181" t="n"/>
      <c r="V308" s="181" t="n"/>
      <c r="W308" s="181" t="n"/>
      <c r="X308" s="181" t="n"/>
      <c r="Y308" s="181" t="n"/>
      <c r="Z308" s="181" t="n"/>
      <c r="AA308" s="181" t="n"/>
      <c r="AB308" s="181" t="n"/>
    </row>
    <row r="309">
      <c r="A309" s="181" t="n"/>
      <c r="B309" s="181" t="n"/>
      <c r="C309" s="181" t="n"/>
      <c r="D309" s="181" t="n"/>
      <c r="E309" s="181" t="n"/>
      <c r="F309" s="204" t="n"/>
      <c r="G309" s="204" t="n"/>
      <c r="H309" s="204" t="n"/>
      <c r="I309" s="204" t="n"/>
      <c r="J309" s="204" t="n"/>
      <c r="K309" s="181" t="n"/>
      <c r="L309" s="181" t="n"/>
      <c r="M309" s="181" t="n"/>
      <c r="N309" s="181" t="n"/>
      <c r="O309" s="181" t="n"/>
      <c r="P309" s="181" t="n"/>
      <c r="Q309" s="181" t="n"/>
      <c r="R309" s="181" t="n"/>
      <c r="S309" s="181" t="n"/>
      <c r="T309" s="181" t="n"/>
      <c r="U309" s="181" t="n"/>
      <c r="V309" s="181" t="n"/>
      <c r="W309" s="181" t="n"/>
      <c r="X309" s="181" t="n"/>
      <c r="Y309" s="181" t="n"/>
      <c r="Z309" s="181" t="n"/>
      <c r="AA309" s="181" t="n"/>
      <c r="AB309" s="181" t="n"/>
    </row>
    <row r="310">
      <c r="A310" s="181" t="n"/>
      <c r="B310" s="181" t="n"/>
      <c r="C310" s="181" t="n"/>
      <c r="D310" s="181" t="n"/>
      <c r="E310" s="181" t="n"/>
      <c r="F310" s="204" t="n"/>
      <c r="G310" s="204" t="n"/>
      <c r="H310" s="204" t="n"/>
      <c r="I310" s="204" t="n"/>
      <c r="J310" s="204" t="n"/>
      <c r="K310" s="181" t="n"/>
      <c r="L310" s="181" t="n"/>
      <c r="M310" s="181" t="n"/>
      <c r="N310" s="181" t="n"/>
      <c r="O310" s="181" t="n"/>
      <c r="P310" s="181" t="n"/>
      <c r="Q310" s="181" t="n"/>
      <c r="R310" s="181" t="n"/>
      <c r="S310" s="181" t="n"/>
      <c r="T310" s="181" t="n"/>
      <c r="U310" s="181" t="n"/>
      <c r="V310" s="181" t="n"/>
      <c r="W310" s="181" t="n"/>
      <c r="X310" s="181" t="n"/>
      <c r="Y310" s="181" t="n"/>
      <c r="Z310" s="181" t="n"/>
      <c r="AA310" s="181" t="n"/>
      <c r="AB310" s="181" t="n"/>
    </row>
    <row r="311">
      <c r="A311" s="181" t="n"/>
      <c r="B311" s="181" t="n"/>
      <c r="C311" s="181" t="n"/>
      <c r="D311" s="181" t="n"/>
      <c r="E311" s="181" t="n"/>
      <c r="F311" s="204" t="n"/>
      <c r="G311" s="204" t="n"/>
      <c r="H311" s="204" t="n"/>
      <c r="I311" s="204" t="n"/>
      <c r="J311" s="204" t="n"/>
      <c r="K311" s="181" t="n"/>
      <c r="L311" s="181" t="n"/>
      <c r="M311" s="181" t="n"/>
      <c r="N311" s="181" t="n"/>
      <c r="O311" s="181" t="n"/>
      <c r="P311" s="181" t="n"/>
      <c r="Q311" s="181" t="n"/>
      <c r="R311" s="181" t="n"/>
      <c r="S311" s="181" t="n"/>
      <c r="T311" s="181" t="n"/>
      <c r="U311" s="181" t="n"/>
      <c r="V311" s="181" t="n"/>
      <c r="W311" s="181" t="n"/>
      <c r="X311" s="181" t="n"/>
      <c r="Y311" s="181" t="n"/>
      <c r="Z311" s="181" t="n"/>
      <c r="AA311" s="181" t="n"/>
      <c r="AB311" s="181" t="n"/>
    </row>
    <row r="312">
      <c r="A312" s="181" t="n"/>
      <c r="B312" s="181" t="n"/>
      <c r="C312" s="181" t="n"/>
      <c r="D312" s="181" t="n"/>
      <c r="E312" s="181" t="n"/>
      <c r="F312" s="204" t="n"/>
      <c r="G312" s="204" t="n"/>
      <c r="H312" s="204" t="n"/>
      <c r="I312" s="204" t="n"/>
      <c r="J312" s="204" t="n"/>
      <c r="K312" s="181" t="n"/>
      <c r="L312" s="181" t="n"/>
      <c r="M312" s="181" t="n"/>
      <c r="N312" s="181" t="n"/>
      <c r="O312" s="181" t="n"/>
      <c r="P312" s="181" t="n"/>
      <c r="Q312" s="181" t="n"/>
      <c r="R312" s="181" t="n"/>
      <c r="S312" s="181" t="n"/>
      <c r="T312" s="181" t="n"/>
      <c r="U312" s="181" t="n"/>
      <c r="V312" s="181" t="n"/>
      <c r="W312" s="181" t="n"/>
      <c r="X312" s="181" t="n"/>
      <c r="Y312" s="181" t="n"/>
      <c r="Z312" s="181" t="n"/>
      <c r="AA312" s="181" t="n"/>
      <c r="AB312" s="181" t="n"/>
    </row>
    <row r="313">
      <c r="A313" s="181" t="n"/>
      <c r="B313" s="181" t="n"/>
      <c r="C313" s="181" t="n"/>
      <c r="D313" s="181" t="n"/>
      <c r="E313" s="181" t="n"/>
      <c r="F313" s="204" t="n"/>
      <c r="G313" s="204" t="n"/>
      <c r="H313" s="204" t="n"/>
      <c r="I313" s="204" t="n"/>
      <c r="J313" s="204" t="n"/>
      <c r="K313" s="181" t="n"/>
      <c r="L313" s="181" t="n"/>
      <c r="M313" s="181" t="n"/>
      <c r="N313" s="181" t="n"/>
      <c r="O313" s="181" t="n"/>
      <c r="P313" s="181" t="n"/>
      <c r="Q313" s="181" t="n"/>
      <c r="R313" s="181" t="n"/>
      <c r="S313" s="181" t="n"/>
      <c r="T313" s="181" t="n"/>
      <c r="U313" s="181" t="n"/>
      <c r="V313" s="181" t="n"/>
      <c r="W313" s="181" t="n"/>
      <c r="X313" s="181" t="n"/>
      <c r="Y313" s="181" t="n"/>
      <c r="Z313" s="181" t="n"/>
      <c r="AA313" s="181" t="n"/>
      <c r="AB313" s="181" t="n"/>
    </row>
    <row r="314">
      <c r="A314" s="181" t="n"/>
      <c r="B314" s="181" t="n"/>
      <c r="C314" s="181" t="n"/>
      <c r="D314" s="181" t="n"/>
      <c r="E314" s="181" t="n"/>
      <c r="F314" s="204" t="n"/>
      <c r="G314" s="204" t="n"/>
      <c r="H314" s="204" t="n"/>
      <c r="I314" s="204" t="n"/>
      <c r="J314" s="204" t="n"/>
      <c r="K314" s="181" t="n"/>
      <c r="L314" s="181" t="n"/>
      <c r="M314" s="181" t="n"/>
      <c r="N314" s="181" t="n"/>
      <c r="O314" s="181" t="n"/>
      <c r="P314" s="181" t="n"/>
      <c r="Q314" s="181" t="n"/>
      <c r="R314" s="181" t="n"/>
      <c r="S314" s="181" t="n"/>
      <c r="T314" s="181" t="n"/>
      <c r="U314" s="181" t="n"/>
      <c r="V314" s="181" t="n"/>
      <c r="W314" s="181" t="n"/>
      <c r="X314" s="181" t="n"/>
      <c r="Y314" s="181" t="n"/>
      <c r="Z314" s="181" t="n"/>
      <c r="AA314" s="181" t="n"/>
      <c r="AB314" s="181" t="n"/>
    </row>
    <row r="315">
      <c r="A315" s="181" t="n"/>
      <c r="B315" s="181" t="n"/>
      <c r="C315" s="181" t="n"/>
      <c r="D315" s="181" t="n"/>
      <c r="E315" s="181" t="n"/>
      <c r="F315" s="204" t="n"/>
      <c r="G315" s="204" t="n"/>
      <c r="H315" s="204" t="n"/>
      <c r="I315" s="204" t="n"/>
      <c r="J315" s="204" t="n"/>
      <c r="K315" s="181" t="n"/>
      <c r="L315" s="181" t="n"/>
      <c r="M315" s="181" t="n"/>
      <c r="N315" s="181" t="n"/>
      <c r="O315" s="181" t="n"/>
      <c r="P315" s="181" t="n"/>
      <c r="Q315" s="181" t="n"/>
      <c r="R315" s="181" t="n"/>
      <c r="S315" s="181" t="n"/>
      <c r="T315" s="181" t="n"/>
      <c r="U315" s="181" t="n"/>
      <c r="V315" s="181" t="n"/>
      <c r="W315" s="181" t="n"/>
      <c r="X315" s="181" t="n"/>
      <c r="Y315" s="181" t="n"/>
      <c r="Z315" s="181" t="n"/>
      <c r="AA315" s="181" t="n"/>
      <c r="AB315" s="181" t="n"/>
    </row>
    <row r="316">
      <c r="A316" s="181" t="n"/>
      <c r="B316" s="181" t="n"/>
      <c r="C316" s="181" t="n"/>
      <c r="D316" s="181" t="n"/>
      <c r="E316" s="181" t="n"/>
      <c r="F316" s="204" t="n"/>
      <c r="G316" s="204" t="n"/>
      <c r="H316" s="204" t="n"/>
      <c r="I316" s="204" t="n"/>
      <c r="J316" s="204" t="n"/>
      <c r="K316" s="181" t="n"/>
      <c r="L316" s="181" t="n"/>
      <c r="M316" s="181" t="n"/>
      <c r="N316" s="181" t="n"/>
      <c r="O316" s="181" t="n"/>
      <c r="P316" s="181" t="n"/>
      <c r="Q316" s="181" t="n"/>
      <c r="R316" s="181" t="n"/>
      <c r="S316" s="181" t="n"/>
      <c r="T316" s="181" t="n"/>
      <c r="U316" s="181" t="n"/>
      <c r="V316" s="181" t="n"/>
      <c r="W316" s="181" t="n"/>
      <c r="X316" s="181" t="n"/>
      <c r="Y316" s="181" t="n"/>
      <c r="Z316" s="181" t="n"/>
      <c r="AA316" s="181" t="n"/>
      <c r="AB316" s="181" t="n"/>
    </row>
    <row r="317">
      <c r="A317" s="181" t="n"/>
      <c r="B317" s="181" t="n"/>
      <c r="C317" s="181" t="n"/>
      <c r="D317" s="181" t="n"/>
      <c r="E317" s="181" t="n"/>
      <c r="F317" s="204" t="n"/>
      <c r="G317" s="204" t="n"/>
      <c r="H317" s="204" t="n"/>
      <c r="I317" s="204" t="n"/>
      <c r="J317" s="204" t="n"/>
      <c r="K317" s="181" t="n"/>
      <c r="L317" s="181" t="n"/>
      <c r="M317" s="181" t="n"/>
      <c r="N317" s="181" t="n"/>
      <c r="O317" s="181" t="n"/>
      <c r="P317" s="181" t="n"/>
      <c r="Q317" s="181" t="n"/>
      <c r="R317" s="181" t="n"/>
      <c r="S317" s="181" t="n"/>
      <c r="T317" s="181" t="n"/>
      <c r="U317" s="181" t="n"/>
      <c r="V317" s="181" t="n"/>
      <c r="W317" s="181" t="n"/>
      <c r="X317" s="181" t="n"/>
      <c r="Y317" s="181" t="n"/>
      <c r="Z317" s="181" t="n"/>
      <c r="AA317" s="181" t="n"/>
      <c r="AB317" s="181" t="n"/>
    </row>
    <row r="318">
      <c r="A318" s="181" t="n"/>
      <c r="B318" s="181" t="n"/>
      <c r="C318" s="181" t="n"/>
      <c r="D318" s="181" t="n"/>
      <c r="E318" s="181" t="n"/>
      <c r="F318" s="204" t="n"/>
      <c r="G318" s="204" t="n"/>
      <c r="H318" s="204" t="n"/>
      <c r="I318" s="204" t="n"/>
      <c r="J318" s="204" t="n"/>
      <c r="K318" s="181" t="n"/>
      <c r="L318" s="181" t="n"/>
      <c r="M318" s="181" t="n"/>
      <c r="N318" s="181" t="n"/>
      <c r="O318" s="181" t="n"/>
      <c r="P318" s="181" t="n"/>
      <c r="Q318" s="181" t="n"/>
      <c r="R318" s="181" t="n"/>
      <c r="S318" s="181" t="n"/>
      <c r="T318" s="181" t="n"/>
      <c r="U318" s="181" t="n"/>
      <c r="V318" s="181" t="n"/>
      <c r="W318" s="181" t="n"/>
      <c r="X318" s="181" t="n"/>
      <c r="Y318" s="181" t="n"/>
      <c r="Z318" s="181" t="n"/>
      <c r="AA318" s="181" t="n"/>
      <c r="AB318" s="181" t="n"/>
    </row>
    <row r="319">
      <c r="A319" s="181" t="n"/>
      <c r="B319" s="181" t="n"/>
      <c r="C319" s="181" t="n"/>
      <c r="D319" s="181" t="n"/>
      <c r="E319" s="181" t="n"/>
      <c r="F319" s="204" t="n"/>
      <c r="G319" s="204" t="n"/>
      <c r="H319" s="204" t="n"/>
      <c r="I319" s="204" t="n"/>
      <c r="J319" s="204" t="n"/>
      <c r="K319" s="181" t="n"/>
      <c r="L319" s="181" t="n"/>
      <c r="M319" s="181" t="n"/>
      <c r="N319" s="181" t="n"/>
      <c r="O319" s="181" t="n"/>
      <c r="P319" s="181" t="n"/>
      <c r="Q319" s="181" t="n"/>
      <c r="R319" s="181" t="n"/>
      <c r="S319" s="181" t="n"/>
      <c r="T319" s="181" t="n"/>
      <c r="U319" s="181" t="n"/>
      <c r="V319" s="181" t="n"/>
      <c r="W319" s="181" t="n"/>
      <c r="X319" s="181" t="n"/>
      <c r="Y319" s="181" t="n"/>
      <c r="Z319" s="181" t="n"/>
      <c r="AA319" s="181" t="n"/>
      <c r="AB319" s="181" t="n"/>
    </row>
    <row r="320">
      <c r="A320" s="181" t="n"/>
      <c r="B320" s="181" t="n"/>
      <c r="C320" s="181" t="n"/>
      <c r="D320" s="181" t="n"/>
      <c r="E320" s="181" t="n"/>
      <c r="F320" s="204" t="n"/>
      <c r="G320" s="204" t="n"/>
      <c r="H320" s="204" t="n"/>
      <c r="I320" s="204" t="n"/>
      <c r="J320" s="204" t="n"/>
      <c r="K320" s="181" t="n"/>
      <c r="L320" s="181" t="n"/>
      <c r="M320" s="181" t="n"/>
      <c r="N320" s="181" t="n"/>
      <c r="O320" s="181" t="n"/>
      <c r="P320" s="181" t="n"/>
      <c r="Q320" s="181" t="n"/>
      <c r="R320" s="181" t="n"/>
      <c r="S320" s="181" t="n"/>
      <c r="T320" s="181" t="n"/>
      <c r="U320" s="181" t="n"/>
      <c r="V320" s="181" t="n"/>
      <c r="W320" s="181" t="n"/>
      <c r="X320" s="181" t="n"/>
      <c r="Y320" s="181" t="n"/>
      <c r="Z320" s="181" t="n"/>
      <c r="AA320" s="181" t="n"/>
      <c r="AB320" s="181" t="n"/>
    </row>
    <row r="321">
      <c r="A321" s="181" t="n"/>
      <c r="B321" s="181" t="n"/>
      <c r="C321" s="181" t="n"/>
      <c r="D321" s="181" t="n"/>
      <c r="E321" s="181" t="n"/>
      <c r="F321" s="204" t="n"/>
      <c r="G321" s="204" t="n"/>
      <c r="H321" s="204" t="n"/>
      <c r="I321" s="204" t="n"/>
      <c r="J321" s="204" t="n"/>
      <c r="K321" s="181" t="n"/>
      <c r="L321" s="181" t="n"/>
      <c r="M321" s="181" t="n"/>
      <c r="N321" s="181" t="n"/>
      <c r="O321" s="181" t="n"/>
      <c r="P321" s="181" t="n"/>
      <c r="Q321" s="181" t="n"/>
      <c r="R321" s="181" t="n"/>
      <c r="S321" s="181" t="n"/>
      <c r="T321" s="181" t="n"/>
      <c r="U321" s="181" t="n"/>
      <c r="V321" s="181" t="n"/>
      <c r="W321" s="181" t="n"/>
      <c r="X321" s="181" t="n"/>
      <c r="Y321" s="181" t="n"/>
      <c r="Z321" s="181" t="n"/>
      <c r="AA321" s="181" t="n"/>
      <c r="AB321" s="181" t="n"/>
    </row>
    <row r="322">
      <c r="A322" s="181" t="n"/>
      <c r="B322" s="181" t="n"/>
      <c r="C322" s="181" t="n"/>
      <c r="D322" s="181" t="n"/>
      <c r="E322" s="181" t="n"/>
      <c r="F322" s="204" t="n"/>
      <c r="G322" s="204" t="n"/>
      <c r="H322" s="204" t="n"/>
      <c r="I322" s="204" t="n"/>
      <c r="J322" s="204" t="n"/>
      <c r="K322" s="181" t="n"/>
      <c r="L322" s="181" t="n"/>
      <c r="M322" s="181" t="n"/>
      <c r="N322" s="181" t="n"/>
      <c r="O322" s="181" t="n"/>
      <c r="P322" s="181" t="n"/>
      <c r="Q322" s="181" t="n"/>
      <c r="R322" s="181" t="n"/>
      <c r="S322" s="181" t="n"/>
      <c r="T322" s="181" t="n"/>
      <c r="U322" s="181" t="n"/>
      <c r="V322" s="181" t="n"/>
      <c r="W322" s="181" t="n"/>
      <c r="X322" s="181" t="n"/>
      <c r="Y322" s="181" t="n"/>
      <c r="Z322" s="181" t="n"/>
      <c r="AA322" s="181" t="n"/>
      <c r="AB322" s="181" t="n"/>
    </row>
    <row r="323">
      <c r="A323" s="181" t="n"/>
      <c r="B323" s="181" t="n"/>
      <c r="C323" s="181" t="n"/>
      <c r="D323" s="181" t="n"/>
      <c r="E323" s="181" t="n"/>
      <c r="F323" s="204" t="n"/>
      <c r="G323" s="204" t="n"/>
      <c r="H323" s="204" t="n"/>
      <c r="I323" s="204" t="n"/>
      <c r="J323" s="204" t="n"/>
      <c r="K323" s="181" t="n"/>
      <c r="L323" s="181" t="n"/>
      <c r="M323" s="181" t="n"/>
      <c r="N323" s="181" t="n"/>
      <c r="O323" s="181" t="n"/>
      <c r="P323" s="181" t="n"/>
      <c r="Q323" s="181" t="n"/>
      <c r="R323" s="181" t="n"/>
      <c r="S323" s="181" t="n"/>
      <c r="T323" s="181" t="n"/>
      <c r="U323" s="181" t="n"/>
      <c r="V323" s="181" t="n"/>
      <c r="W323" s="181" t="n"/>
      <c r="X323" s="181" t="n"/>
      <c r="Y323" s="181" t="n"/>
      <c r="Z323" s="181" t="n"/>
      <c r="AA323" s="181" t="n"/>
      <c r="AB323" s="181" t="n"/>
    </row>
    <row r="324">
      <c r="A324" s="181" t="n"/>
      <c r="B324" s="181" t="n"/>
      <c r="C324" s="181" t="n"/>
      <c r="D324" s="181" t="n"/>
      <c r="E324" s="181" t="n"/>
      <c r="F324" s="204" t="n"/>
      <c r="G324" s="204" t="n"/>
      <c r="H324" s="204" t="n"/>
      <c r="I324" s="204" t="n"/>
      <c r="J324" s="204" t="n"/>
      <c r="K324" s="181" t="n"/>
      <c r="L324" s="181" t="n"/>
      <c r="M324" s="181" t="n"/>
      <c r="N324" s="181" t="n"/>
      <c r="O324" s="181" t="n"/>
      <c r="P324" s="181" t="n"/>
      <c r="Q324" s="181" t="n"/>
      <c r="R324" s="181" t="n"/>
      <c r="S324" s="181" t="n"/>
      <c r="T324" s="181" t="n"/>
      <c r="U324" s="181" t="n"/>
      <c r="V324" s="181" t="n"/>
      <c r="W324" s="181" t="n"/>
      <c r="X324" s="181" t="n"/>
      <c r="Y324" s="181" t="n"/>
      <c r="Z324" s="181" t="n"/>
      <c r="AA324" s="181" t="n"/>
      <c r="AB324" s="181" t="n"/>
    </row>
    <row r="325">
      <c r="A325" s="181" t="n"/>
      <c r="B325" s="181" t="n"/>
      <c r="C325" s="181" t="n"/>
      <c r="D325" s="181" t="n"/>
      <c r="E325" s="181" t="n"/>
      <c r="F325" s="204" t="n"/>
      <c r="G325" s="204" t="n"/>
      <c r="H325" s="204" t="n"/>
      <c r="I325" s="204" t="n"/>
      <c r="J325" s="204" t="n"/>
      <c r="K325" s="181" t="n"/>
      <c r="L325" s="181" t="n"/>
      <c r="M325" s="181" t="n"/>
      <c r="N325" s="181" t="n"/>
      <c r="O325" s="181" t="n"/>
      <c r="P325" s="181" t="n"/>
      <c r="Q325" s="181" t="n"/>
      <c r="R325" s="181" t="n"/>
      <c r="S325" s="181" t="n"/>
      <c r="T325" s="181" t="n"/>
      <c r="U325" s="181" t="n"/>
      <c r="V325" s="181" t="n"/>
      <c r="W325" s="181" t="n"/>
      <c r="X325" s="181" t="n"/>
      <c r="Y325" s="181" t="n"/>
      <c r="Z325" s="181" t="n"/>
      <c r="AA325" s="181" t="n"/>
      <c r="AB325" s="181" t="n"/>
    </row>
    <row r="326">
      <c r="A326" s="181" t="n"/>
      <c r="B326" s="181" t="n"/>
      <c r="C326" s="181" t="n"/>
      <c r="D326" s="181" t="n"/>
      <c r="E326" s="181" t="n"/>
      <c r="F326" s="204" t="n"/>
      <c r="G326" s="204" t="n"/>
      <c r="H326" s="204" t="n"/>
      <c r="I326" s="204" t="n"/>
      <c r="J326" s="204" t="n"/>
      <c r="K326" s="181" t="n"/>
      <c r="L326" s="181" t="n"/>
      <c r="M326" s="181" t="n"/>
      <c r="N326" s="181" t="n"/>
      <c r="O326" s="181" t="n"/>
      <c r="P326" s="181" t="n"/>
      <c r="Q326" s="181" t="n"/>
      <c r="R326" s="181" t="n"/>
      <c r="S326" s="181" t="n"/>
      <c r="T326" s="181" t="n"/>
      <c r="U326" s="181" t="n"/>
      <c r="V326" s="181" t="n"/>
      <c r="W326" s="181" t="n"/>
      <c r="X326" s="181" t="n"/>
      <c r="Y326" s="181" t="n"/>
      <c r="Z326" s="181" t="n"/>
      <c r="AA326" s="181" t="n"/>
      <c r="AB326" s="181" t="n"/>
    </row>
    <row r="327">
      <c r="A327" s="181" t="n"/>
      <c r="B327" s="181" t="n"/>
      <c r="C327" s="181" t="n"/>
      <c r="D327" s="181" t="n"/>
      <c r="E327" s="181" t="n"/>
      <c r="F327" s="204" t="n"/>
      <c r="G327" s="204" t="n"/>
      <c r="H327" s="204" t="n"/>
      <c r="I327" s="204" t="n"/>
      <c r="J327" s="204" t="n"/>
      <c r="K327" s="181" t="n"/>
      <c r="L327" s="181" t="n"/>
      <c r="M327" s="181" t="n"/>
      <c r="N327" s="181" t="n"/>
      <c r="O327" s="181" t="n"/>
      <c r="P327" s="181" t="n"/>
      <c r="Q327" s="181" t="n"/>
      <c r="R327" s="181" t="n"/>
      <c r="S327" s="181" t="n"/>
      <c r="T327" s="181" t="n"/>
      <c r="U327" s="181" t="n"/>
      <c r="V327" s="181" t="n"/>
      <c r="W327" s="181" t="n"/>
      <c r="X327" s="181" t="n"/>
      <c r="Y327" s="181" t="n"/>
      <c r="Z327" s="181" t="n"/>
      <c r="AA327" s="181" t="n"/>
      <c r="AB327" s="181" t="n"/>
    </row>
    <row r="328">
      <c r="A328" s="181" t="n"/>
      <c r="B328" s="181" t="n"/>
      <c r="C328" s="181" t="n"/>
      <c r="D328" s="181" t="n"/>
      <c r="E328" s="181" t="n"/>
      <c r="F328" s="204" t="n"/>
      <c r="G328" s="204" t="n"/>
      <c r="H328" s="204" t="n"/>
      <c r="I328" s="204" t="n"/>
      <c r="J328" s="204" t="n"/>
      <c r="K328" s="181" t="n"/>
      <c r="L328" s="181" t="n"/>
      <c r="M328" s="181" t="n"/>
      <c r="N328" s="181" t="n"/>
      <c r="O328" s="181" t="n"/>
      <c r="P328" s="181" t="n"/>
      <c r="Q328" s="181" t="n"/>
      <c r="R328" s="181" t="n"/>
      <c r="S328" s="181" t="n"/>
      <c r="T328" s="181" t="n"/>
      <c r="U328" s="181" t="n"/>
      <c r="V328" s="181" t="n"/>
      <c r="W328" s="181" t="n"/>
      <c r="X328" s="181" t="n"/>
      <c r="Y328" s="181" t="n"/>
      <c r="Z328" s="181" t="n"/>
      <c r="AA328" s="181" t="n"/>
      <c r="AB328" s="181" t="n"/>
    </row>
    <row r="329">
      <c r="A329" s="181" t="n"/>
      <c r="B329" s="181" t="n"/>
      <c r="C329" s="181" t="n"/>
      <c r="D329" s="181" t="n"/>
      <c r="E329" s="181" t="n"/>
      <c r="F329" s="204" t="n"/>
      <c r="G329" s="204" t="n"/>
      <c r="H329" s="204" t="n"/>
      <c r="I329" s="204" t="n"/>
      <c r="J329" s="204" t="n"/>
      <c r="K329" s="181" t="n"/>
      <c r="L329" s="181" t="n"/>
      <c r="M329" s="181" t="n"/>
      <c r="N329" s="181" t="n"/>
      <c r="O329" s="181" t="n"/>
      <c r="P329" s="181" t="n"/>
      <c r="Q329" s="181" t="n"/>
      <c r="R329" s="181" t="n"/>
      <c r="S329" s="181" t="n"/>
      <c r="T329" s="181" t="n"/>
      <c r="U329" s="181" t="n"/>
      <c r="V329" s="181" t="n"/>
      <c r="W329" s="181" t="n"/>
      <c r="X329" s="181" t="n"/>
      <c r="Y329" s="181" t="n"/>
      <c r="Z329" s="181" t="n"/>
      <c r="AA329" s="181" t="n"/>
      <c r="AB329" s="181" t="n"/>
    </row>
    <row r="330">
      <c r="A330" s="181" t="n"/>
      <c r="B330" s="181" t="n"/>
      <c r="C330" s="181" t="n"/>
      <c r="D330" s="181" t="n"/>
      <c r="E330" s="181" t="n"/>
      <c r="F330" s="204" t="n"/>
      <c r="G330" s="204" t="n"/>
      <c r="H330" s="204" t="n"/>
      <c r="I330" s="204" t="n"/>
      <c r="J330" s="204" t="n"/>
      <c r="K330" s="181" t="n"/>
      <c r="L330" s="181" t="n"/>
      <c r="M330" s="181" t="n"/>
      <c r="N330" s="181" t="n"/>
      <c r="O330" s="181" t="n"/>
      <c r="P330" s="181" t="n"/>
      <c r="Q330" s="181" t="n"/>
      <c r="R330" s="181" t="n"/>
      <c r="S330" s="181" t="n"/>
      <c r="T330" s="181" t="n"/>
      <c r="U330" s="181" t="n"/>
      <c r="V330" s="181" t="n"/>
      <c r="W330" s="181" t="n"/>
      <c r="X330" s="181" t="n"/>
      <c r="Y330" s="181" t="n"/>
      <c r="Z330" s="181" t="n"/>
      <c r="AA330" s="181" t="n"/>
      <c r="AB330" s="181" t="n"/>
    </row>
    <row r="331">
      <c r="A331" s="181" t="n"/>
      <c r="B331" s="181" t="n"/>
      <c r="C331" s="181" t="n"/>
      <c r="D331" s="181" t="n"/>
      <c r="E331" s="181" t="n"/>
      <c r="F331" s="204" t="n"/>
      <c r="G331" s="204" t="n"/>
      <c r="H331" s="204" t="n"/>
      <c r="I331" s="204" t="n"/>
      <c r="J331" s="204" t="n"/>
      <c r="K331" s="181" t="n"/>
      <c r="L331" s="181" t="n"/>
      <c r="M331" s="181" t="n"/>
      <c r="N331" s="181" t="n"/>
      <c r="O331" s="181" t="n"/>
      <c r="P331" s="181" t="n"/>
      <c r="Q331" s="181" t="n"/>
      <c r="R331" s="181" t="n"/>
      <c r="S331" s="181" t="n"/>
      <c r="T331" s="181" t="n"/>
      <c r="U331" s="181" t="n"/>
      <c r="V331" s="181" t="n"/>
      <c r="W331" s="181" t="n"/>
      <c r="X331" s="181" t="n"/>
      <c r="Y331" s="181" t="n"/>
      <c r="Z331" s="181" t="n"/>
      <c r="AA331" s="181" t="n"/>
      <c r="AB331" s="181" t="n"/>
    </row>
    <row r="332">
      <c r="A332" s="181" t="n"/>
      <c r="B332" s="181" t="n"/>
      <c r="C332" s="181" t="n"/>
      <c r="D332" s="181" t="n"/>
      <c r="E332" s="181" t="n"/>
      <c r="F332" s="204" t="n"/>
      <c r="G332" s="204" t="n"/>
      <c r="H332" s="204" t="n"/>
      <c r="I332" s="204" t="n"/>
      <c r="J332" s="204" t="n"/>
      <c r="K332" s="181" t="n"/>
      <c r="L332" s="181" t="n"/>
      <c r="M332" s="181" t="n"/>
      <c r="N332" s="181" t="n"/>
      <c r="O332" s="181" t="n"/>
      <c r="P332" s="181" t="n"/>
      <c r="Q332" s="181" t="n"/>
      <c r="R332" s="181" t="n"/>
      <c r="S332" s="181" t="n"/>
      <c r="T332" s="181" t="n"/>
      <c r="U332" s="181" t="n"/>
      <c r="V332" s="181" t="n"/>
      <c r="W332" s="181" t="n"/>
      <c r="X332" s="181" t="n"/>
      <c r="Y332" s="181" t="n"/>
      <c r="Z332" s="181" t="n"/>
      <c r="AA332" s="181" t="n"/>
      <c r="AB332" s="181" t="n"/>
    </row>
    <row r="333">
      <c r="A333" s="181" t="n"/>
      <c r="B333" s="181" t="n"/>
      <c r="C333" s="181" t="n"/>
      <c r="D333" s="181" t="n"/>
      <c r="E333" s="181" t="n"/>
      <c r="F333" s="204" t="n"/>
      <c r="G333" s="204" t="n"/>
      <c r="H333" s="204" t="n"/>
      <c r="I333" s="204" t="n"/>
      <c r="J333" s="204" t="n"/>
      <c r="K333" s="181" t="n"/>
      <c r="L333" s="181" t="n"/>
      <c r="M333" s="181" t="n"/>
      <c r="N333" s="181" t="n"/>
      <c r="O333" s="181" t="n"/>
      <c r="P333" s="181" t="n"/>
      <c r="Q333" s="181" t="n"/>
      <c r="R333" s="181" t="n"/>
      <c r="S333" s="181" t="n"/>
      <c r="T333" s="181" t="n"/>
      <c r="U333" s="181" t="n"/>
      <c r="V333" s="181" t="n"/>
      <c r="W333" s="181" t="n"/>
      <c r="X333" s="181" t="n"/>
      <c r="Y333" s="181" t="n"/>
      <c r="Z333" s="181" t="n"/>
      <c r="AA333" s="181" t="n"/>
      <c r="AB333" s="181" t="n"/>
    </row>
    <row r="334">
      <c r="A334" s="181" t="n"/>
      <c r="B334" s="181" t="n"/>
      <c r="C334" s="181" t="n"/>
      <c r="D334" s="181" t="n"/>
      <c r="E334" s="181" t="n"/>
      <c r="F334" s="204" t="n"/>
      <c r="G334" s="204" t="n"/>
      <c r="H334" s="204" t="n"/>
      <c r="I334" s="204" t="n"/>
      <c r="J334" s="204" t="n"/>
      <c r="K334" s="181" t="n"/>
      <c r="L334" s="181" t="n"/>
      <c r="M334" s="181" t="n"/>
      <c r="N334" s="181" t="n"/>
      <c r="O334" s="181" t="n"/>
      <c r="P334" s="181" t="n"/>
      <c r="Q334" s="181" t="n"/>
      <c r="R334" s="181" t="n"/>
      <c r="S334" s="181" t="n"/>
      <c r="T334" s="181" t="n"/>
      <c r="U334" s="181" t="n"/>
      <c r="V334" s="181" t="n"/>
      <c r="W334" s="181" t="n"/>
      <c r="X334" s="181" t="n"/>
      <c r="Y334" s="181" t="n"/>
      <c r="Z334" s="181" t="n"/>
      <c r="AA334" s="181" t="n"/>
      <c r="AB334" s="181" t="n"/>
    </row>
    <row r="335">
      <c r="A335" s="181" t="n"/>
      <c r="B335" s="181" t="n"/>
      <c r="C335" s="181" t="n"/>
      <c r="D335" s="181" t="n"/>
      <c r="E335" s="181" t="n"/>
      <c r="F335" s="204" t="n"/>
      <c r="G335" s="204" t="n"/>
      <c r="H335" s="204" t="n"/>
      <c r="I335" s="204" t="n"/>
      <c r="J335" s="204" t="n"/>
      <c r="K335" s="181" t="n"/>
      <c r="L335" s="181" t="n"/>
      <c r="M335" s="181" t="n"/>
      <c r="N335" s="181" t="n"/>
      <c r="O335" s="181" t="n"/>
      <c r="P335" s="181" t="n"/>
      <c r="Q335" s="181" t="n"/>
      <c r="R335" s="181" t="n"/>
      <c r="S335" s="181" t="n"/>
      <c r="T335" s="181" t="n"/>
      <c r="U335" s="181" t="n"/>
      <c r="V335" s="181" t="n"/>
      <c r="W335" s="181" t="n"/>
      <c r="X335" s="181" t="n"/>
      <c r="Y335" s="181" t="n"/>
      <c r="Z335" s="181" t="n"/>
      <c r="AA335" s="181" t="n"/>
      <c r="AB335" s="181" t="n"/>
    </row>
    <row r="336">
      <c r="A336" s="181" t="n"/>
      <c r="B336" s="181" t="n"/>
      <c r="C336" s="181" t="n"/>
      <c r="D336" s="181" t="n"/>
      <c r="E336" s="181" t="n"/>
      <c r="F336" s="204" t="n"/>
      <c r="G336" s="204" t="n"/>
      <c r="H336" s="204" t="n"/>
      <c r="I336" s="204" t="n"/>
      <c r="J336" s="204" t="n"/>
      <c r="K336" s="181" t="n"/>
      <c r="L336" s="181" t="n"/>
      <c r="M336" s="181" t="n"/>
      <c r="N336" s="181" t="n"/>
      <c r="O336" s="181" t="n"/>
      <c r="P336" s="181" t="n"/>
      <c r="Q336" s="181" t="n"/>
      <c r="R336" s="181" t="n"/>
      <c r="S336" s="181" t="n"/>
      <c r="T336" s="181" t="n"/>
      <c r="U336" s="181" t="n"/>
      <c r="V336" s="181" t="n"/>
      <c r="W336" s="181" t="n"/>
      <c r="X336" s="181" t="n"/>
      <c r="Y336" s="181" t="n"/>
      <c r="Z336" s="181" t="n"/>
      <c r="AA336" s="181" t="n"/>
      <c r="AB336" s="181" t="n"/>
    </row>
    <row r="337">
      <c r="A337" s="181" t="n"/>
      <c r="B337" s="181" t="n"/>
      <c r="C337" s="181" t="n"/>
      <c r="D337" s="181" t="n"/>
      <c r="E337" s="181" t="n"/>
      <c r="F337" s="204" t="n"/>
      <c r="G337" s="204" t="n"/>
      <c r="H337" s="204" t="n"/>
      <c r="I337" s="204" t="n"/>
      <c r="J337" s="204" t="n"/>
      <c r="K337" s="181" t="n"/>
      <c r="L337" s="181" t="n"/>
      <c r="M337" s="181" t="n"/>
      <c r="N337" s="181" t="n"/>
      <c r="O337" s="181" t="n"/>
      <c r="P337" s="181" t="n"/>
      <c r="Q337" s="181" t="n"/>
      <c r="R337" s="181" t="n"/>
      <c r="S337" s="181" t="n"/>
      <c r="T337" s="181" t="n"/>
      <c r="U337" s="181" t="n"/>
      <c r="V337" s="181" t="n"/>
      <c r="W337" s="181" t="n"/>
      <c r="X337" s="181" t="n"/>
      <c r="Y337" s="181" t="n"/>
      <c r="Z337" s="181" t="n"/>
      <c r="AA337" s="181" t="n"/>
      <c r="AB337" s="181" t="n"/>
    </row>
    <row r="338">
      <c r="A338" s="181" t="n"/>
      <c r="B338" s="181" t="n"/>
      <c r="C338" s="181" t="n"/>
      <c r="D338" s="181" t="n"/>
      <c r="E338" s="181" t="n"/>
      <c r="F338" s="204" t="n"/>
      <c r="G338" s="204" t="n"/>
      <c r="H338" s="204" t="n"/>
      <c r="I338" s="204" t="n"/>
      <c r="J338" s="204" t="n"/>
      <c r="K338" s="181" t="n"/>
      <c r="L338" s="181" t="n"/>
      <c r="M338" s="181" t="n"/>
      <c r="N338" s="181" t="n"/>
      <c r="O338" s="181" t="n"/>
      <c r="P338" s="181" t="n"/>
      <c r="Q338" s="181" t="n"/>
      <c r="R338" s="181" t="n"/>
      <c r="S338" s="181" t="n"/>
      <c r="T338" s="181" t="n"/>
      <c r="U338" s="181" t="n"/>
      <c r="V338" s="181" t="n"/>
      <c r="W338" s="181" t="n"/>
      <c r="X338" s="181" t="n"/>
      <c r="Y338" s="181" t="n"/>
      <c r="Z338" s="181" t="n"/>
      <c r="AA338" s="181" t="n"/>
      <c r="AB338" s="181" t="n"/>
    </row>
    <row r="339">
      <c r="A339" s="181" t="n"/>
      <c r="B339" s="181" t="n"/>
      <c r="C339" s="181" t="n"/>
      <c r="D339" s="181" t="n"/>
      <c r="E339" s="181" t="n"/>
      <c r="F339" s="204" t="n"/>
      <c r="G339" s="204" t="n"/>
      <c r="H339" s="204" t="n"/>
      <c r="I339" s="204" t="n"/>
      <c r="J339" s="204" t="n"/>
      <c r="K339" s="181" t="n"/>
      <c r="L339" s="181" t="n"/>
      <c r="M339" s="181" t="n"/>
      <c r="N339" s="181" t="n"/>
      <c r="O339" s="181" t="n"/>
      <c r="P339" s="181" t="n"/>
      <c r="Q339" s="181" t="n"/>
      <c r="R339" s="181" t="n"/>
      <c r="S339" s="181" t="n"/>
      <c r="T339" s="181" t="n"/>
      <c r="U339" s="181" t="n"/>
      <c r="V339" s="181" t="n"/>
      <c r="W339" s="181" t="n"/>
      <c r="X339" s="181" t="n"/>
      <c r="Y339" s="181" t="n"/>
      <c r="Z339" s="181" t="n"/>
      <c r="AA339" s="181" t="n"/>
      <c r="AB339" s="181" t="n"/>
    </row>
    <row r="340">
      <c r="A340" s="181" t="n"/>
      <c r="B340" s="181" t="n"/>
      <c r="C340" s="181" t="n"/>
      <c r="D340" s="181" t="n"/>
      <c r="E340" s="181" t="n"/>
      <c r="F340" s="204" t="n"/>
      <c r="G340" s="204" t="n"/>
      <c r="H340" s="204" t="n"/>
      <c r="I340" s="204" t="n"/>
      <c r="J340" s="204" t="n"/>
      <c r="K340" s="181" t="n"/>
      <c r="L340" s="181" t="n"/>
      <c r="M340" s="181" t="n"/>
      <c r="N340" s="181" t="n"/>
      <c r="O340" s="181" t="n"/>
      <c r="P340" s="181" t="n"/>
      <c r="Q340" s="181" t="n"/>
      <c r="R340" s="181" t="n"/>
      <c r="S340" s="181" t="n"/>
      <c r="T340" s="181" t="n"/>
      <c r="U340" s="181" t="n"/>
      <c r="V340" s="181" t="n"/>
      <c r="W340" s="181" t="n"/>
      <c r="X340" s="181" t="n"/>
      <c r="Y340" s="181" t="n"/>
      <c r="Z340" s="181" t="n"/>
      <c r="AA340" s="181" t="n"/>
      <c r="AB340" s="181" t="n"/>
    </row>
    <row r="341">
      <c r="A341" s="181" t="n"/>
      <c r="B341" s="181" t="n"/>
      <c r="C341" s="181" t="n"/>
      <c r="D341" s="181" t="n"/>
      <c r="E341" s="181" t="n"/>
      <c r="F341" s="204" t="n"/>
      <c r="G341" s="204" t="n"/>
      <c r="H341" s="204" t="n"/>
      <c r="I341" s="204" t="n"/>
      <c r="J341" s="204" t="n"/>
      <c r="K341" s="181" t="n"/>
      <c r="L341" s="181" t="n"/>
      <c r="M341" s="181" t="n"/>
      <c r="N341" s="181" t="n"/>
      <c r="O341" s="181" t="n"/>
      <c r="P341" s="181" t="n"/>
      <c r="Q341" s="181" t="n"/>
      <c r="R341" s="181" t="n"/>
      <c r="S341" s="181" t="n"/>
      <c r="T341" s="181" t="n"/>
      <c r="U341" s="181" t="n"/>
      <c r="V341" s="181" t="n"/>
      <c r="W341" s="181" t="n"/>
      <c r="X341" s="181" t="n"/>
      <c r="Y341" s="181" t="n"/>
      <c r="Z341" s="181" t="n"/>
      <c r="AA341" s="181" t="n"/>
      <c r="AB341" s="181" t="n"/>
    </row>
    <row r="342">
      <c r="A342" s="181" t="n"/>
      <c r="B342" s="181" t="n"/>
      <c r="C342" s="181" t="n"/>
      <c r="D342" s="181" t="n"/>
      <c r="E342" s="181" t="n"/>
      <c r="F342" s="204" t="n"/>
      <c r="G342" s="204" t="n"/>
      <c r="H342" s="204" t="n"/>
      <c r="I342" s="204" t="n"/>
      <c r="J342" s="204" t="n"/>
      <c r="K342" s="181" t="n"/>
      <c r="L342" s="181" t="n"/>
      <c r="M342" s="181" t="n"/>
      <c r="N342" s="181" t="n"/>
      <c r="O342" s="181" t="n"/>
      <c r="P342" s="181" t="n"/>
      <c r="Q342" s="181" t="n"/>
      <c r="R342" s="181" t="n"/>
      <c r="S342" s="181" t="n"/>
      <c r="T342" s="181" t="n"/>
      <c r="U342" s="181" t="n"/>
      <c r="V342" s="181" t="n"/>
      <c r="W342" s="181" t="n"/>
      <c r="X342" s="181" t="n"/>
      <c r="Y342" s="181" t="n"/>
      <c r="Z342" s="181" t="n"/>
      <c r="AA342" s="181" t="n"/>
      <c r="AB342" s="181" t="n"/>
    </row>
    <row r="343">
      <c r="A343" s="181" t="n"/>
      <c r="B343" s="181" t="n"/>
      <c r="C343" s="181" t="n"/>
      <c r="D343" s="181" t="n"/>
      <c r="E343" s="181" t="n"/>
      <c r="F343" s="204" t="n"/>
      <c r="G343" s="204" t="n"/>
      <c r="H343" s="204" t="n"/>
      <c r="I343" s="204" t="n"/>
      <c r="J343" s="204" t="n"/>
      <c r="K343" s="181" t="n"/>
      <c r="L343" s="181" t="n"/>
      <c r="M343" s="181" t="n"/>
      <c r="N343" s="181" t="n"/>
      <c r="O343" s="181" t="n"/>
      <c r="P343" s="181" t="n"/>
      <c r="Q343" s="181" t="n"/>
      <c r="R343" s="181" t="n"/>
      <c r="S343" s="181" t="n"/>
      <c r="T343" s="181" t="n"/>
      <c r="U343" s="181" t="n"/>
      <c r="V343" s="181" t="n"/>
      <c r="W343" s="181" t="n"/>
      <c r="X343" s="181" t="n"/>
      <c r="Y343" s="181" t="n"/>
      <c r="Z343" s="181" t="n"/>
      <c r="AA343" s="181" t="n"/>
      <c r="AB343" s="181" t="n"/>
    </row>
    <row r="344">
      <c r="A344" s="181" t="n"/>
      <c r="B344" s="181" t="n"/>
      <c r="C344" s="181" t="n"/>
      <c r="D344" s="181" t="n"/>
      <c r="E344" s="181" t="n"/>
      <c r="F344" s="204" t="n"/>
      <c r="G344" s="204" t="n"/>
      <c r="H344" s="204" t="n"/>
      <c r="I344" s="204" t="n"/>
      <c r="J344" s="204" t="n"/>
      <c r="K344" s="181" t="n"/>
      <c r="L344" s="181" t="n"/>
      <c r="M344" s="181" t="n"/>
      <c r="N344" s="181" t="n"/>
      <c r="O344" s="181" t="n"/>
      <c r="P344" s="181" t="n"/>
      <c r="Q344" s="181" t="n"/>
      <c r="R344" s="181" t="n"/>
      <c r="S344" s="181" t="n"/>
      <c r="T344" s="181" t="n"/>
      <c r="U344" s="181" t="n"/>
      <c r="V344" s="181" t="n"/>
      <c r="W344" s="181" t="n"/>
      <c r="X344" s="181" t="n"/>
      <c r="Y344" s="181" t="n"/>
      <c r="Z344" s="181" t="n"/>
      <c r="AA344" s="181" t="n"/>
      <c r="AB344" s="181" t="n"/>
    </row>
    <row r="345">
      <c r="A345" s="181" t="n"/>
      <c r="B345" s="181" t="n"/>
      <c r="C345" s="181" t="n"/>
      <c r="D345" s="181" t="n"/>
      <c r="E345" s="181" t="n"/>
      <c r="F345" s="204" t="n"/>
      <c r="G345" s="204" t="n"/>
      <c r="H345" s="204" t="n"/>
      <c r="I345" s="204" t="n"/>
      <c r="J345" s="204" t="n"/>
      <c r="K345" s="181" t="n"/>
      <c r="L345" s="181" t="n"/>
      <c r="M345" s="181" t="n"/>
      <c r="N345" s="181" t="n"/>
      <c r="O345" s="181" t="n"/>
      <c r="P345" s="181" t="n"/>
      <c r="Q345" s="181" t="n"/>
      <c r="R345" s="181" t="n"/>
      <c r="S345" s="181" t="n"/>
      <c r="T345" s="181" t="n"/>
      <c r="U345" s="181" t="n"/>
      <c r="V345" s="181" t="n"/>
      <c r="W345" s="181" t="n"/>
      <c r="X345" s="181" t="n"/>
      <c r="Y345" s="181" t="n"/>
      <c r="Z345" s="181" t="n"/>
      <c r="AA345" s="181" t="n"/>
      <c r="AB345" s="181" t="n"/>
    </row>
    <row r="346">
      <c r="A346" s="181" t="n"/>
      <c r="B346" s="181" t="n"/>
      <c r="C346" s="181" t="n"/>
      <c r="D346" s="181" t="n"/>
      <c r="E346" s="181" t="n"/>
      <c r="F346" s="204" t="n"/>
      <c r="G346" s="204" t="n"/>
      <c r="H346" s="204" t="n"/>
      <c r="I346" s="204" t="n"/>
      <c r="J346" s="204" t="n"/>
      <c r="K346" s="181" t="n"/>
      <c r="L346" s="181" t="n"/>
      <c r="M346" s="181" t="n"/>
      <c r="N346" s="181" t="n"/>
      <c r="O346" s="181" t="n"/>
      <c r="P346" s="181" t="n"/>
      <c r="Q346" s="181" t="n"/>
      <c r="R346" s="181" t="n"/>
      <c r="S346" s="181" t="n"/>
      <c r="T346" s="181" t="n"/>
      <c r="U346" s="181" t="n"/>
      <c r="V346" s="181" t="n"/>
      <c r="W346" s="181" t="n"/>
      <c r="X346" s="181" t="n"/>
      <c r="Y346" s="181" t="n"/>
      <c r="Z346" s="181" t="n"/>
      <c r="AA346" s="181" t="n"/>
      <c r="AB346" s="181" t="n"/>
    </row>
    <row r="347">
      <c r="A347" s="181" t="n"/>
      <c r="B347" s="181" t="n"/>
      <c r="C347" s="181" t="n"/>
      <c r="D347" s="181" t="n"/>
      <c r="E347" s="181" t="n"/>
      <c r="F347" s="204" t="n"/>
      <c r="G347" s="204" t="n"/>
      <c r="H347" s="204" t="n"/>
      <c r="I347" s="204" t="n"/>
      <c r="J347" s="204" t="n"/>
      <c r="K347" s="181" t="n"/>
      <c r="L347" s="181" t="n"/>
      <c r="M347" s="181" t="n"/>
      <c r="N347" s="181" t="n"/>
      <c r="O347" s="181" t="n"/>
      <c r="P347" s="181" t="n"/>
      <c r="Q347" s="181" t="n"/>
      <c r="R347" s="181" t="n"/>
      <c r="S347" s="181" t="n"/>
      <c r="T347" s="181" t="n"/>
      <c r="U347" s="181" t="n"/>
      <c r="V347" s="181" t="n"/>
      <c r="W347" s="181" t="n"/>
      <c r="X347" s="181" t="n"/>
      <c r="Y347" s="181" t="n"/>
      <c r="Z347" s="181" t="n"/>
      <c r="AA347" s="181" t="n"/>
      <c r="AB347" s="181" t="n"/>
    </row>
    <row r="348">
      <c r="A348" s="181" t="n"/>
      <c r="B348" s="181" t="n"/>
      <c r="C348" s="181" t="n"/>
      <c r="D348" s="181" t="n"/>
      <c r="E348" s="181" t="n"/>
      <c r="F348" s="204" t="n"/>
      <c r="G348" s="204" t="n"/>
      <c r="H348" s="204" t="n"/>
      <c r="I348" s="204" t="n"/>
      <c r="J348" s="204" t="n"/>
      <c r="K348" s="181" t="n"/>
      <c r="L348" s="181" t="n"/>
      <c r="M348" s="181" t="n"/>
      <c r="N348" s="181" t="n"/>
      <c r="O348" s="181" t="n"/>
      <c r="P348" s="181" t="n"/>
      <c r="Q348" s="181" t="n"/>
      <c r="R348" s="181" t="n"/>
      <c r="S348" s="181" t="n"/>
      <c r="T348" s="181" t="n"/>
      <c r="U348" s="181" t="n"/>
      <c r="V348" s="181" t="n"/>
      <c r="W348" s="181" t="n"/>
      <c r="X348" s="181" t="n"/>
      <c r="Y348" s="181" t="n"/>
      <c r="Z348" s="181" t="n"/>
      <c r="AA348" s="181" t="n"/>
      <c r="AB348" s="181" t="n"/>
    </row>
    <row r="349">
      <c r="A349" s="181" t="n"/>
      <c r="B349" s="181" t="n"/>
      <c r="C349" s="181" t="n"/>
      <c r="D349" s="181" t="n"/>
      <c r="E349" s="181" t="n"/>
      <c r="F349" s="204" t="n"/>
      <c r="G349" s="204" t="n"/>
      <c r="H349" s="204" t="n"/>
      <c r="I349" s="204" t="n"/>
      <c r="J349" s="204" t="n"/>
      <c r="K349" s="181" t="n"/>
      <c r="L349" s="181" t="n"/>
      <c r="M349" s="181" t="n"/>
      <c r="N349" s="181" t="n"/>
      <c r="O349" s="181" t="n"/>
      <c r="P349" s="181" t="n"/>
      <c r="Q349" s="181" t="n"/>
      <c r="R349" s="181" t="n"/>
      <c r="S349" s="181" t="n"/>
      <c r="T349" s="181" t="n"/>
      <c r="U349" s="181" t="n"/>
      <c r="V349" s="181" t="n"/>
      <c r="W349" s="181" t="n"/>
      <c r="X349" s="181" t="n"/>
      <c r="Y349" s="181" t="n"/>
      <c r="Z349" s="181" t="n"/>
      <c r="AA349" s="181" t="n"/>
      <c r="AB349" s="181" t="n"/>
    </row>
    <row r="350">
      <c r="A350" s="181" t="n"/>
      <c r="B350" s="181" t="n"/>
      <c r="C350" s="181" t="n"/>
      <c r="D350" s="181" t="n"/>
      <c r="E350" s="181" t="n"/>
      <c r="F350" s="204" t="n"/>
      <c r="G350" s="204" t="n"/>
      <c r="H350" s="204" t="n"/>
      <c r="I350" s="204" t="n"/>
      <c r="J350" s="204" t="n"/>
      <c r="K350" s="181" t="n"/>
      <c r="L350" s="181" t="n"/>
      <c r="M350" s="181" t="n"/>
      <c r="N350" s="181" t="n"/>
      <c r="O350" s="181" t="n"/>
      <c r="P350" s="181" t="n"/>
      <c r="Q350" s="181" t="n"/>
      <c r="R350" s="181" t="n"/>
      <c r="S350" s="181" t="n"/>
      <c r="T350" s="181" t="n"/>
      <c r="U350" s="181" t="n"/>
      <c r="V350" s="181" t="n"/>
      <c r="W350" s="181" t="n"/>
      <c r="X350" s="181" t="n"/>
      <c r="Y350" s="181" t="n"/>
      <c r="Z350" s="181" t="n"/>
      <c r="AA350" s="181" t="n"/>
      <c r="AB350" s="181" t="n"/>
    </row>
    <row r="351">
      <c r="A351" s="181" t="n"/>
      <c r="B351" s="181" t="n"/>
      <c r="C351" s="181" t="n"/>
      <c r="D351" s="181" t="n"/>
      <c r="E351" s="181" t="n"/>
      <c r="F351" s="204" t="n"/>
      <c r="G351" s="204" t="n"/>
      <c r="H351" s="204" t="n"/>
      <c r="I351" s="204" t="n"/>
      <c r="J351" s="204" t="n"/>
      <c r="K351" s="181" t="n"/>
      <c r="L351" s="181" t="n"/>
      <c r="M351" s="181" t="n"/>
      <c r="N351" s="181" t="n"/>
      <c r="O351" s="181" t="n"/>
      <c r="P351" s="181" t="n"/>
      <c r="Q351" s="181" t="n"/>
      <c r="R351" s="181" t="n"/>
      <c r="S351" s="181" t="n"/>
      <c r="T351" s="181" t="n"/>
      <c r="U351" s="181" t="n"/>
      <c r="V351" s="181" t="n"/>
      <c r="W351" s="181" t="n"/>
      <c r="X351" s="181" t="n"/>
      <c r="Y351" s="181" t="n"/>
      <c r="Z351" s="181" t="n"/>
      <c r="AA351" s="181" t="n"/>
      <c r="AB351" s="181" t="n"/>
    </row>
    <row r="352">
      <c r="A352" s="181" t="n"/>
      <c r="B352" s="181" t="n"/>
      <c r="C352" s="181" t="n"/>
      <c r="D352" s="181" t="n"/>
      <c r="E352" s="181" t="n"/>
      <c r="F352" s="204" t="n"/>
      <c r="G352" s="204" t="n"/>
      <c r="H352" s="204" t="n"/>
      <c r="I352" s="204" t="n"/>
      <c r="J352" s="204" t="n"/>
      <c r="K352" s="181" t="n"/>
      <c r="L352" s="181" t="n"/>
      <c r="M352" s="181" t="n"/>
      <c r="N352" s="181" t="n"/>
      <c r="O352" s="181" t="n"/>
      <c r="P352" s="181" t="n"/>
      <c r="Q352" s="181" t="n"/>
      <c r="R352" s="181" t="n"/>
      <c r="S352" s="181" t="n"/>
      <c r="T352" s="181" t="n"/>
      <c r="U352" s="181" t="n"/>
      <c r="V352" s="181" t="n"/>
      <c r="W352" s="181" t="n"/>
      <c r="X352" s="181" t="n"/>
      <c r="Y352" s="181" t="n"/>
      <c r="Z352" s="181" t="n"/>
      <c r="AA352" s="181" t="n"/>
      <c r="AB352" s="181" t="n"/>
    </row>
    <row r="353">
      <c r="A353" s="181" t="n"/>
      <c r="B353" s="181" t="n"/>
      <c r="C353" s="181" t="n"/>
      <c r="D353" s="181" t="n"/>
      <c r="E353" s="181" t="n"/>
      <c r="F353" s="204" t="n"/>
      <c r="G353" s="204" t="n"/>
      <c r="H353" s="204" t="n"/>
      <c r="I353" s="204" t="n"/>
      <c r="J353" s="204" t="n"/>
      <c r="K353" s="181" t="n"/>
      <c r="L353" s="181" t="n"/>
      <c r="M353" s="181" t="n"/>
      <c r="N353" s="181" t="n"/>
      <c r="O353" s="181" t="n"/>
      <c r="P353" s="181" t="n"/>
      <c r="Q353" s="181" t="n"/>
      <c r="R353" s="181" t="n"/>
      <c r="S353" s="181" t="n"/>
      <c r="T353" s="181" t="n"/>
      <c r="U353" s="181" t="n"/>
      <c r="V353" s="181" t="n"/>
      <c r="W353" s="181" t="n"/>
      <c r="X353" s="181" t="n"/>
      <c r="Y353" s="181" t="n"/>
      <c r="Z353" s="181" t="n"/>
      <c r="AA353" s="181" t="n"/>
      <c r="AB353" s="181" t="n"/>
    </row>
    <row r="354">
      <c r="A354" s="181" t="n"/>
      <c r="B354" s="181" t="n"/>
      <c r="C354" s="181" t="n"/>
      <c r="D354" s="181" t="n"/>
      <c r="E354" s="181" t="n"/>
      <c r="F354" s="204" t="n"/>
      <c r="G354" s="204" t="n"/>
      <c r="H354" s="204" t="n"/>
      <c r="I354" s="204" t="n"/>
      <c r="J354" s="204" t="n"/>
      <c r="K354" s="181" t="n"/>
      <c r="L354" s="181" t="n"/>
      <c r="M354" s="181" t="n"/>
      <c r="N354" s="181" t="n"/>
      <c r="O354" s="181" t="n"/>
      <c r="P354" s="181" t="n"/>
      <c r="Q354" s="181" t="n"/>
      <c r="R354" s="181" t="n"/>
      <c r="S354" s="181" t="n"/>
      <c r="T354" s="181" t="n"/>
      <c r="U354" s="181" t="n"/>
      <c r="V354" s="181" t="n"/>
      <c r="W354" s="181" t="n"/>
      <c r="X354" s="181" t="n"/>
      <c r="Y354" s="181" t="n"/>
      <c r="Z354" s="181" t="n"/>
      <c r="AA354" s="181" t="n"/>
      <c r="AB354" s="181" t="n"/>
    </row>
    <row r="355">
      <c r="A355" s="181" t="n"/>
      <c r="B355" s="181" t="n"/>
      <c r="C355" s="181" t="n"/>
      <c r="D355" s="181" t="n"/>
      <c r="E355" s="181" t="n"/>
      <c r="F355" s="204" t="n"/>
      <c r="G355" s="204" t="n"/>
      <c r="H355" s="204" t="n"/>
      <c r="I355" s="204" t="n"/>
      <c r="J355" s="204" t="n"/>
      <c r="K355" s="181" t="n"/>
      <c r="L355" s="181" t="n"/>
      <c r="M355" s="181" t="n"/>
      <c r="N355" s="181" t="n"/>
      <c r="O355" s="181" t="n"/>
      <c r="P355" s="181" t="n"/>
      <c r="Q355" s="181" t="n"/>
      <c r="R355" s="181" t="n"/>
      <c r="S355" s="181" t="n"/>
      <c r="T355" s="181" t="n"/>
      <c r="U355" s="181" t="n"/>
      <c r="V355" s="181" t="n"/>
      <c r="W355" s="181" t="n"/>
      <c r="X355" s="181" t="n"/>
      <c r="Y355" s="181" t="n"/>
      <c r="Z355" s="181" t="n"/>
      <c r="AA355" s="181" t="n"/>
      <c r="AB355" s="181" t="n"/>
    </row>
    <row r="356">
      <c r="A356" s="181" t="n"/>
      <c r="B356" s="181" t="n"/>
      <c r="C356" s="181" t="n"/>
      <c r="D356" s="181" t="n"/>
      <c r="E356" s="181" t="n"/>
      <c r="F356" s="204" t="n"/>
      <c r="G356" s="204" t="n"/>
      <c r="H356" s="204" t="n"/>
      <c r="I356" s="204" t="n"/>
      <c r="J356" s="204" t="n"/>
      <c r="K356" s="181" t="n"/>
      <c r="L356" s="181" t="n"/>
      <c r="M356" s="181" t="n"/>
      <c r="N356" s="181" t="n"/>
      <c r="O356" s="181" t="n"/>
      <c r="P356" s="181" t="n"/>
      <c r="Q356" s="181" t="n"/>
      <c r="R356" s="181" t="n"/>
      <c r="S356" s="181" t="n"/>
      <c r="T356" s="181" t="n"/>
      <c r="U356" s="181" t="n"/>
      <c r="V356" s="181" t="n"/>
      <c r="W356" s="181" t="n"/>
      <c r="X356" s="181" t="n"/>
      <c r="Y356" s="181" t="n"/>
      <c r="Z356" s="181" t="n"/>
      <c r="AA356" s="181" t="n"/>
      <c r="AB356" s="181" t="n"/>
    </row>
    <row r="357">
      <c r="A357" s="181" t="n"/>
      <c r="B357" s="181" t="n"/>
      <c r="C357" s="181" t="n"/>
      <c r="D357" s="181" t="n"/>
      <c r="E357" s="181" t="n"/>
      <c r="F357" s="204" t="n"/>
      <c r="G357" s="204" t="n"/>
      <c r="H357" s="204" t="n"/>
      <c r="I357" s="204" t="n"/>
      <c r="J357" s="204" t="n"/>
      <c r="K357" s="181" t="n"/>
      <c r="L357" s="181" t="n"/>
      <c r="M357" s="181" t="n"/>
      <c r="N357" s="181" t="n"/>
      <c r="O357" s="181" t="n"/>
      <c r="P357" s="181" t="n"/>
      <c r="Q357" s="181" t="n"/>
      <c r="R357" s="181" t="n"/>
      <c r="S357" s="181" t="n"/>
      <c r="T357" s="181" t="n"/>
      <c r="U357" s="181" t="n"/>
      <c r="V357" s="181" t="n"/>
      <c r="W357" s="181" t="n"/>
      <c r="X357" s="181" t="n"/>
      <c r="Y357" s="181" t="n"/>
      <c r="Z357" s="181" t="n"/>
      <c r="AA357" s="181" t="n"/>
      <c r="AB357" s="181" t="n"/>
    </row>
    <row r="358">
      <c r="A358" s="181" t="n"/>
      <c r="B358" s="181" t="n"/>
      <c r="C358" s="181" t="n"/>
      <c r="D358" s="181" t="n"/>
      <c r="E358" s="181" t="n"/>
      <c r="F358" s="204" t="n"/>
      <c r="G358" s="204" t="n"/>
      <c r="H358" s="204" t="n"/>
      <c r="I358" s="204" t="n"/>
      <c r="J358" s="204" t="n"/>
      <c r="K358" s="181" t="n"/>
      <c r="L358" s="181" t="n"/>
      <c r="M358" s="181" t="n"/>
      <c r="N358" s="181" t="n"/>
      <c r="O358" s="181" t="n"/>
      <c r="P358" s="181" t="n"/>
      <c r="Q358" s="181" t="n"/>
      <c r="R358" s="181" t="n"/>
      <c r="S358" s="181" t="n"/>
      <c r="T358" s="181" t="n"/>
      <c r="U358" s="181" t="n"/>
      <c r="V358" s="181" t="n"/>
      <c r="W358" s="181" t="n"/>
      <c r="X358" s="181" t="n"/>
      <c r="Y358" s="181" t="n"/>
      <c r="Z358" s="181" t="n"/>
      <c r="AA358" s="181" t="n"/>
      <c r="AB358" s="181" t="n"/>
    </row>
    <row r="359">
      <c r="A359" s="181" t="n"/>
      <c r="B359" s="181" t="n"/>
      <c r="C359" s="181" t="n"/>
      <c r="D359" s="181" t="n"/>
      <c r="E359" s="181" t="n"/>
      <c r="F359" s="204" t="n"/>
      <c r="G359" s="204" t="n"/>
      <c r="H359" s="204" t="n"/>
      <c r="I359" s="204" t="n"/>
      <c r="J359" s="204" t="n"/>
      <c r="K359" s="181" t="n"/>
      <c r="L359" s="181" t="n"/>
      <c r="M359" s="181" t="n"/>
      <c r="N359" s="181" t="n"/>
      <c r="O359" s="181" t="n"/>
      <c r="P359" s="181" t="n"/>
      <c r="Q359" s="181" t="n"/>
      <c r="R359" s="181" t="n"/>
      <c r="S359" s="181" t="n"/>
      <c r="T359" s="181" t="n"/>
      <c r="U359" s="181" t="n"/>
      <c r="V359" s="181" t="n"/>
      <c r="W359" s="181" t="n"/>
      <c r="X359" s="181" t="n"/>
      <c r="Y359" s="181" t="n"/>
      <c r="Z359" s="181" t="n"/>
      <c r="AA359" s="181" t="n"/>
      <c r="AB359" s="181" t="n"/>
    </row>
    <row r="360">
      <c r="A360" s="181" t="n"/>
      <c r="B360" s="181" t="n"/>
      <c r="C360" s="181" t="n"/>
      <c r="D360" s="181" t="n"/>
      <c r="E360" s="181" t="n"/>
      <c r="F360" s="204" t="n"/>
      <c r="G360" s="204" t="n"/>
      <c r="H360" s="204" t="n"/>
      <c r="I360" s="204" t="n"/>
      <c r="J360" s="204" t="n"/>
      <c r="K360" s="181" t="n"/>
      <c r="L360" s="181" t="n"/>
      <c r="M360" s="181" t="n"/>
      <c r="N360" s="181" t="n"/>
      <c r="O360" s="181" t="n"/>
      <c r="P360" s="181" t="n"/>
      <c r="Q360" s="181" t="n"/>
      <c r="R360" s="181" t="n"/>
      <c r="S360" s="181" t="n"/>
      <c r="T360" s="181" t="n"/>
      <c r="U360" s="181" t="n"/>
      <c r="V360" s="181" t="n"/>
      <c r="W360" s="181" t="n"/>
      <c r="X360" s="181" t="n"/>
      <c r="Y360" s="181" t="n"/>
      <c r="Z360" s="181" t="n"/>
      <c r="AA360" s="181" t="n"/>
      <c r="AB360" s="181" t="n"/>
    </row>
    <row r="361">
      <c r="A361" s="181" t="n"/>
      <c r="B361" s="181" t="n"/>
      <c r="C361" s="181" t="n"/>
      <c r="D361" s="181" t="n"/>
      <c r="E361" s="181" t="n"/>
      <c r="F361" s="204" t="n"/>
      <c r="G361" s="204" t="n"/>
      <c r="H361" s="204" t="n"/>
      <c r="I361" s="204" t="n"/>
      <c r="J361" s="204" t="n"/>
      <c r="K361" s="181" t="n"/>
      <c r="L361" s="181" t="n"/>
      <c r="M361" s="181" t="n"/>
      <c r="N361" s="181" t="n"/>
      <c r="O361" s="181" t="n"/>
      <c r="P361" s="181" t="n"/>
      <c r="Q361" s="181" t="n"/>
      <c r="R361" s="181" t="n"/>
      <c r="S361" s="181" t="n"/>
      <c r="T361" s="181" t="n"/>
      <c r="U361" s="181" t="n"/>
      <c r="V361" s="181" t="n"/>
      <c r="W361" s="181" t="n"/>
      <c r="X361" s="181" t="n"/>
      <c r="Y361" s="181" t="n"/>
      <c r="Z361" s="181" t="n"/>
      <c r="AA361" s="181" t="n"/>
      <c r="AB361" s="181" t="n"/>
    </row>
    <row r="362">
      <c r="A362" s="181" t="n"/>
      <c r="B362" s="181" t="n"/>
      <c r="C362" s="181" t="n"/>
      <c r="D362" s="181" t="n"/>
      <c r="E362" s="181" t="n"/>
      <c r="F362" s="204" t="n"/>
      <c r="G362" s="204" t="n"/>
      <c r="H362" s="204" t="n"/>
      <c r="I362" s="204" t="n"/>
      <c r="J362" s="204" t="n"/>
      <c r="K362" s="181" t="n"/>
      <c r="L362" s="181" t="n"/>
      <c r="M362" s="181" t="n"/>
      <c r="N362" s="181" t="n"/>
      <c r="O362" s="181" t="n"/>
      <c r="P362" s="181" t="n"/>
      <c r="Q362" s="181" t="n"/>
      <c r="R362" s="181" t="n"/>
      <c r="S362" s="181" t="n"/>
      <c r="T362" s="181" t="n"/>
      <c r="U362" s="181" t="n"/>
      <c r="V362" s="181" t="n"/>
      <c r="W362" s="181" t="n"/>
      <c r="X362" s="181" t="n"/>
      <c r="Y362" s="181" t="n"/>
      <c r="Z362" s="181" t="n"/>
      <c r="AA362" s="181" t="n"/>
      <c r="AB362" s="181" t="n"/>
    </row>
    <row r="363">
      <c r="A363" s="181" t="n"/>
      <c r="B363" s="181" t="n"/>
      <c r="C363" s="181" t="n"/>
      <c r="D363" s="181" t="n"/>
      <c r="E363" s="181" t="n"/>
      <c r="F363" s="204" t="n"/>
      <c r="G363" s="204" t="n"/>
      <c r="H363" s="204" t="n"/>
      <c r="I363" s="204" t="n"/>
      <c r="J363" s="204" t="n"/>
      <c r="K363" s="181" t="n"/>
      <c r="L363" s="181" t="n"/>
      <c r="M363" s="181" t="n"/>
      <c r="N363" s="181" t="n"/>
      <c r="O363" s="181" t="n"/>
      <c r="P363" s="181" t="n"/>
      <c r="Q363" s="181" t="n"/>
      <c r="R363" s="181" t="n"/>
      <c r="S363" s="181" t="n"/>
      <c r="T363" s="181" t="n"/>
      <c r="U363" s="181" t="n"/>
      <c r="V363" s="181" t="n"/>
      <c r="W363" s="181" t="n"/>
      <c r="X363" s="181" t="n"/>
      <c r="Y363" s="181" t="n"/>
      <c r="Z363" s="181" t="n"/>
      <c r="AA363" s="181" t="n"/>
      <c r="AB363" s="181" t="n"/>
    </row>
    <row r="364">
      <c r="A364" s="181" t="n"/>
      <c r="B364" s="181" t="n"/>
      <c r="C364" s="181" t="n"/>
      <c r="D364" s="181" t="n"/>
      <c r="E364" s="181" t="n"/>
      <c r="F364" s="204" t="n"/>
      <c r="G364" s="204" t="n"/>
      <c r="H364" s="204" t="n"/>
      <c r="I364" s="204" t="n"/>
      <c r="J364" s="204" t="n"/>
      <c r="K364" s="181" t="n"/>
      <c r="L364" s="181" t="n"/>
      <c r="M364" s="181" t="n"/>
      <c r="N364" s="181" t="n"/>
      <c r="O364" s="181" t="n"/>
      <c r="P364" s="181" t="n"/>
      <c r="Q364" s="181" t="n"/>
      <c r="R364" s="181" t="n"/>
      <c r="S364" s="181" t="n"/>
      <c r="T364" s="181" t="n"/>
      <c r="U364" s="181" t="n"/>
      <c r="V364" s="181" t="n"/>
      <c r="W364" s="181" t="n"/>
      <c r="X364" s="181" t="n"/>
      <c r="Y364" s="181" t="n"/>
      <c r="Z364" s="181" t="n"/>
      <c r="AA364" s="181" t="n"/>
      <c r="AB364" s="181" t="n"/>
    </row>
    <row r="365">
      <c r="A365" s="181" t="n"/>
      <c r="B365" s="181" t="n"/>
      <c r="C365" s="181" t="n"/>
      <c r="D365" s="181" t="n"/>
      <c r="E365" s="181" t="n"/>
      <c r="F365" s="204" t="n"/>
      <c r="G365" s="204" t="n"/>
      <c r="H365" s="204" t="n"/>
      <c r="I365" s="204" t="n"/>
      <c r="J365" s="204" t="n"/>
      <c r="K365" s="181" t="n"/>
      <c r="L365" s="181" t="n"/>
      <c r="M365" s="181" t="n"/>
      <c r="N365" s="181" t="n"/>
      <c r="O365" s="181" t="n"/>
      <c r="P365" s="181" t="n"/>
      <c r="Q365" s="181" t="n"/>
      <c r="R365" s="181" t="n"/>
      <c r="S365" s="181" t="n"/>
      <c r="T365" s="181" t="n"/>
      <c r="U365" s="181" t="n"/>
      <c r="V365" s="181" t="n"/>
      <c r="W365" s="181" t="n"/>
      <c r="X365" s="181" t="n"/>
      <c r="Y365" s="181" t="n"/>
      <c r="Z365" s="181" t="n"/>
      <c r="AA365" s="181" t="n"/>
      <c r="AB365" s="181" t="n"/>
    </row>
    <row r="366">
      <c r="A366" s="181" t="n"/>
      <c r="B366" s="181" t="n"/>
      <c r="C366" s="181" t="n"/>
      <c r="D366" s="181" t="n"/>
      <c r="E366" s="181" t="n"/>
      <c r="F366" s="204" t="n"/>
      <c r="G366" s="204" t="n"/>
      <c r="H366" s="204" t="n"/>
      <c r="I366" s="204" t="n"/>
      <c r="J366" s="204" t="n"/>
      <c r="K366" s="181" t="n"/>
      <c r="L366" s="181" t="n"/>
      <c r="M366" s="181" t="n"/>
      <c r="N366" s="181" t="n"/>
      <c r="O366" s="181" t="n"/>
      <c r="P366" s="181" t="n"/>
      <c r="Q366" s="181" t="n"/>
      <c r="R366" s="181" t="n"/>
      <c r="S366" s="181" t="n"/>
      <c r="T366" s="181" t="n"/>
      <c r="U366" s="181" t="n"/>
      <c r="V366" s="181" t="n"/>
      <c r="W366" s="181" t="n"/>
      <c r="X366" s="181" t="n"/>
      <c r="Y366" s="181" t="n"/>
      <c r="Z366" s="181" t="n"/>
      <c r="AA366" s="181" t="n"/>
      <c r="AB366" s="181" t="n"/>
    </row>
    <row r="367">
      <c r="A367" s="181" t="n"/>
      <c r="B367" s="181" t="n"/>
      <c r="C367" s="181" t="n"/>
      <c r="D367" s="181" t="n"/>
      <c r="E367" s="181" t="n"/>
      <c r="F367" s="204" t="n"/>
      <c r="G367" s="204" t="n"/>
      <c r="H367" s="204" t="n"/>
      <c r="I367" s="204" t="n"/>
      <c r="J367" s="204" t="n"/>
      <c r="K367" s="181" t="n"/>
      <c r="L367" s="181" t="n"/>
      <c r="M367" s="181" t="n"/>
      <c r="N367" s="181" t="n"/>
      <c r="O367" s="181" t="n"/>
      <c r="P367" s="181" t="n"/>
      <c r="Q367" s="181" t="n"/>
      <c r="R367" s="181" t="n"/>
      <c r="S367" s="181" t="n"/>
      <c r="T367" s="181" t="n"/>
      <c r="U367" s="181" t="n"/>
      <c r="V367" s="181" t="n"/>
      <c r="W367" s="181" t="n"/>
      <c r="X367" s="181" t="n"/>
      <c r="Y367" s="181" t="n"/>
      <c r="Z367" s="181" t="n"/>
      <c r="AA367" s="181" t="n"/>
      <c r="AB367" s="181" t="n"/>
    </row>
    <row r="368">
      <c r="A368" s="181" t="n"/>
      <c r="B368" s="181" t="n"/>
      <c r="C368" s="181" t="n"/>
      <c r="D368" s="181" t="n"/>
      <c r="E368" s="181" t="n"/>
      <c r="F368" s="204" t="n"/>
      <c r="G368" s="204" t="n"/>
      <c r="H368" s="204" t="n"/>
      <c r="I368" s="204" t="n"/>
      <c r="J368" s="204" t="n"/>
      <c r="K368" s="181" t="n"/>
      <c r="L368" s="181" t="n"/>
      <c r="M368" s="181" t="n"/>
      <c r="N368" s="181" t="n"/>
      <c r="O368" s="181" t="n"/>
      <c r="P368" s="181" t="n"/>
      <c r="Q368" s="181" t="n"/>
      <c r="R368" s="181" t="n"/>
      <c r="S368" s="181" t="n"/>
      <c r="T368" s="181" t="n"/>
      <c r="U368" s="181" t="n"/>
      <c r="V368" s="181" t="n"/>
      <c r="W368" s="181" t="n"/>
      <c r="X368" s="181" t="n"/>
      <c r="Y368" s="181" t="n"/>
      <c r="Z368" s="181" t="n"/>
      <c r="AA368" s="181" t="n"/>
      <c r="AB368" s="181" t="n"/>
    </row>
    <row r="369">
      <c r="A369" s="181" t="n"/>
      <c r="B369" s="181" t="n"/>
      <c r="C369" s="181" t="n"/>
      <c r="D369" s="181" t="n"/>
      <c r="E369" s="181" t="n"/>
      <c r="F369" s="204" t="n"/>
      <c r="G369" s="204" t="n"/>
      <c r="H369" s="204" t="n"/>
      <c r="I369" s="204" t="n"/>
      <c r="J369" s="204" t="n"/>
      <c r="K369" s="181" t="n"/>
      <c r="L369" s="181" t="n"/>
      <c r="M369" s="181" t="n"/>
      <c r="N369" s="181" t="n"/>
      <c r="O369" s="181" t="n"/>
      <c r="P369" s="181" t="n"/>
      <c r="Q369" s="181" t="n"/>
      <c r="R369" s="181" t="n"/>
      <c r="S369" s="181" t="n"/>
      <c r="T369" s="181" t="n"/>
      <c r="U369" s="181" t="n"/>
      <c r="V369" s="181" t="n"/>
      <c r="W369" s="181" t="n"/>
      <c r="X369" s="181" t="n"/>
      <c r="Y369" s="181" t="n"/>
      <c r="Z369" s="181" t="n"/>
      <c r="AA369" s="181" t="n"/>
      <c r="AB369" s="181" t="n"/>
    </row>
    <row r="370">
      <c r="A370" s="181" t="n"/>
      <c r="B370" s="181" t="n"/>
      <c r="C370" s="181" t="n"/>
      <c r="D370" s="181" t="n"/>
      <c r="E370" s="181" t="n"/>
      <c r="F370" s="204" t="n"/>
      <c r="G370" s="204" t="n"/>
      <c r="H370" s="204" t="n"/>
      <c r="I370" s="204" t="n"/>
      <c r="J370" s="204" t="n"/>
      <c r="K370" s="181" t="n"/>
      <c r="L370" s="181" t="n"/>
      <c r="M370" s="181" t="n"/>
      <c r="N370" s="181" t="n"/>
      <c r="O370" s="181" t="n"/>
      <c r="P370" s="181" t="n"/>
      <c r="Q370" s="181" t="n"/>
      <c r="R370" s="181" t="n"/>
      <c r="S370" s="181" t="n"/>
      <c r="T370" s="181" t="n"/>
      <c r="U370" s="181" t="n"/>
      <c r="V370" s="181" t="n"/>
      <c r="W370" s="181" t="n"/>
      <c r="X370" s="181" t="n"/>
      <c r="Y370" s="181" t="n"/>
      <c r="Z370" s="181" t="n"/>
      <c r="AA370" s="181" t="n"/>
      <c r="AB370" s="181" t="n"/>
    </row>
    <row r="371">
      <c r="A371" s="181" t="n"/>
      <c r="B371" s="181" t="n"/>
      <c r="C371" s="181" t="n"/>
      <c r="D371" s="181" t="n"/>
      <c r="E371" s="181" t="n"/>
      <c r="F371" s="204" t="n"/>
      <c r="G371" s="204" t="n"/>
      <c r="H371" s="204" t="n"/>
      <c r="I371" s="204" t="n"/>
      <c r="J371" s="204" t="n"/>
      <c r="K371" s="181" t="n"/>
      <c r="L371" s="181" t="n"/>
      <c r="M371" s="181" t="n"/>
      <c r="N371" s="181" t="n"/>
      <c r="O371" s="181" t="n"/>
      <c r="P371" s="181" t="n"/>
      <c r="Q371" s="181" t="n"/>
      <c r="R371" s="181" t="n"/>
      <c r="S371" s="181" t="n"/>
      <c r="T371" s="181" t="n"/>
      <c r="U371" s="181" t="n"/>
      <c r="V371" s="181" t="n"/>
      <c r="W371" s="181" t="n"/>
      <c r="X371" s="181" t="n"/>
      <c r="Y371" s="181" t="n"/>
      <c r="Z371" s="181" t="n"/>
      <c r="AA371" s="181" t="n"/>
      <c r="AB371" s="181" t="n"/>
    </row>
    <row r="372">
      <c r="A372" s="181" t="n"/>
      <c r="B372" s="181" t="n"/>
      <c r="C372" s="181" t="n"/>
      <c r="D372" s="181" t="n"/>
      <c r="E372" s="181" t="n"/>
      <c r="F372" s="204" t="n"/>
      <c r="G372" s="204" t="n"/>
      <c r="H372" s="204" t="n"/>
      <c r="I372" s="204" t="n"/>
      <c r="J372" s="204" t="n"/>
      <c r="K372" s="181" t="n"/>
      <c r="L372" s="181" t="n"/>
      <c r="M372" s="181" t="n"/>
      <c r="N372" s="181" t="n"/>
      <c r="O372" s="181" t="n"/>
      <c r="P372" s="181" t="n"/>
      <c r="Q372" s="181" t="n"/>
      <c r="R372" s="181" t="n"/>
      <c r="S372" s="181" t="n"/>
      <c r="T372" s="181" t="n"/>
      <c r="U372" s="181" t="n"/>
      <c r="V372" s="181" t="n"/>
      <c r="W372" s="181" t="n"/>
      <c r="X372" s="181" t="n"/>
      <c r="Y372" s="181" t="n"/>
      <c r="Z372" s="181" t="n"/>
      <c r="AA372" s="181" t="n"/>
      <c r="AB372" s="181" t="n"/>
    </row>
    <row r="373">
      <c r="A373" s="181" t="n"/>
      <c r="B373" s="181" t="n"/>
      <c r="C373" s="181" t="n"/>
      <c r="D373" s="181" t="n"/>
      <c r="E373" s="181" t="n"/>
      <c r="F373" s="204" t="n"/>
      <c r="G373" s="204" t="n"/>
      <c r="H373" s="204" t="n"/>
      <c r="I373" s="204" t="n"/>
      <c r="J373" s="204" t="n"/>
      <c r="K373" s="181" t="n"/>
      <c r="L373" s="181" t="n"/>
      <c r="M373" s="181" t="n"/>
      <c r="N373" s="181" t="n"/>
      <c r="O373" s="181" t="n"/>
      <c r="P373" s="181" t="n"/>
      <c r="Q373" s="181" t="n"/>
      <c r="R373" s="181" t="n"/>
      <c r="S373" s="181" t="n"/>
      <c r="T373" s="181" t="n"/>
      <c r="U373" s="181" t="n"/>
      <c r="V373" s="181" t="n"/>
      <c r="W373" s="181" t="n"/>
      <c r="X373" s="181" t="n"/>
      <c r="Y373" s="181" t="n"/>
      <c r="Z373" s="181" t="n"/>
      <c r="AA373" s="181" t="n"/>
      <c r="AB373" s="181" t="n"/>
    </row>
    <row r="374">
      <c r="A374" s="181" t="n"/>
      <c r="B374" s="181" t="n"/>
      <c r="C374" s="181" t="n"/>
      <c r="D374" s="181" t="n"/>
      <c r="E374" s="181" t="n"/>
      <c r="F374" s="204" t="n"/>
      <c r="G374" s="204" t="n"/>
      <c r="H374" s="204" t="n"/>
      <c r="I374" s="204" t="n"/>
      <c r="J374" s="204" t="n"/>
      <c r="K374" s="181" t="n"/>
      <c r="L374" s="181" t="n"/>
      <c r="M374" s="181" t="n"/>
      <c r="N374" s="181" t="n"/>
      <c r="O374" s="181" t="n"/>
      <c r="P374" s="181" t="n"/>
      <c r="Q374" s="181" t="n"/>
      <c r="R374" s="181" t="n"/>
      <c r="S374" s="181" t="n"/>
      <c r="T374" s="181" t="n"/>
      <c r="U374" s="181" t="n"/>
      <c r="V374" s="181" t="n"/>
      <c r="W374" s="181" t="n"/>
      <c r="X374" s="181" t="n"/>
      <c r="Y374" s="181" t="n"/>
      <c r="Z374" s="181" t="n"/>
      <c r="AA374" s="181" t="n"/>
      <c r="AB374" s="181" t="n"/>
    </row>
    <row r="375">
      <c r="A375" s="181" t="n"/>
      <c r="B375" s="181" t="n"/>
      <c r="C375" s="181" t="n"/>
      <c r="D375" s="181" t="n"/>
      <c r="E375" s="181" t="n"/>
      <c r="F375" s="204" t="n"/>
      <c r="G375" s="204" t="n"/>
      <c r="H375" s="204" t="n"/>
      <c r="I375" s="204" t="n"/>
      <c r="J375" s="204" t="n"/>
      <c r="K375" s="181" t="n"/>
      <c r="L375" s="181" t="n"/>
      <c r="M375" s="181" t="n"/>
      <c r="N375" s="181" t="n"/>
      <c r="O375" s="181" t="n"/>
      <c r="P375" s="181" t="n"/>
      <c r="Q375" s="181" t="n"/>
      <c r="R375" s="181" t="n"/>
      <c r="S375" s="181" t="n"/>
      <c r="T375" s="181" t="n"/>
      <c r="U375" s="181" t="n"/>
      <c r="V375" s="181" t="n"/>
      <c r="W375" s="181" t="n"/>
      <c r="X375" s="181" t="n"/>
      <c r="Y375" s="181" t="n"/>
      <c r="Z375" s="181" t="n"/>
      <c r="AA375" s="181" t="n"/>
      <c r="AB375" s="181" t="n"/>
    </row>
    <row r="376">
      <c r="A376" s="181" t="n"/>
      <c r="B376" s="181" t="n"/>
      <c r="C376" s="181" t="n"/>
      <c r="D376" s="181" t="n"/>
      <c r="E376" s="181" t="n"/>
      <c r="F376" s="204" t="n"/>
      <c r="G376" s="204" t="n"/>
      <c r="H376" s="204" t="n"/>
      <c r="I376" s="204" t="n"/>
      <c r="J376" s="204" t="n"/>
      <c r="K376" s="181" t="n"/>
      <c r="L376" s="181" t="n"/>
      <c r="M376" s="181" t="n"/>
      <c r="N376" s="181" t="n"/>
      <c r="O376" s="181" t="n"/>
      <c r="P376" s="181" t="n"/>
      <c r="Q376" s="181" t="n"/>
      <c r="R376" s="181" t="n"/>
      <c r="S376" s="181" t="n"/>
      <c r="T376" s="181" t="n"/>
      <c r="U376" s="181" t="n"/>
      <c r="V376" s="181" t="n"/>
      <c r="W376" s="181" t="n"/>
      <c r="X376" s="181" t="n"/>
      <c r="Y376" s="181" t="n"/>
      <c r="Z376" s="181" t="n"/>
      <c r="AA376" s="181" t="n"/>
      <c r="AB376" s="181" t="n"/>
    </row>
    <row r="377">
      <c r="A377" s="181" t="n"/>
      <c r="B377" s="181" t="n"/>
      <c r="C377" s="181" t="n"/>
      <c r="D377" s="181" t="n"/>
      <c r="E377" s="181" t="n"/>
      <c r="F377" s="204" t="n"/>
      <c r="G377" s="204" t="n"/>
      <c r="H377" s="204" t="n"/>
      <c r="I377" s="204" t="n"/>
      <c r="J377" s="204" t="n"/>
      <c r="K377" s="181" t="n"/>
      <c r="L377" s="181" t="n"/>
      <c r="M377" s="181" t="n"/>
      <c r="N377" s="181" t="n"/>
      <c r="O377" s="181" t="n"/>
      <c r="P377" s="181" t="n"/>
      <c r="Q377" s="181" t="n"/>
      <c r="R377" s="181" t="n"/>
      <c r="S377" s="181" t="n"/>
      <c r="T377" s="181" t="n"/>
      <c r="U377" s="181" t="n"/>
      <c r="V377" s="181" t="n"/>
      <c r="W377" s="181" t="n"/>
      <c r="X377" s="181" t="n"/>
      <c r="Y377" s="181" t="n"/>
      <c r="Z377" s="181" t="n"/>
      <c r="AA377" s="181" t="n"/>
      <c r="AB377" s="181" t="n"/>
    </row>
    <row r="378">
      <c r="A378" s="181" t="n"/>
      <c r="B378" s="181" t="n"/>
      <c r="C378" s="181" t="n"/>
      <c r="D378" s="181" t="n"/>
      <c r="E378" s="181" t="n"/>
      <c r="F378" s="204" t="n"/>
      <c r="G378" s="204" t="n"/>
      <c r="H378" s="204" t="n"/>
      <c r="I378" s="204" t="n"/>
      <c r="J378" s="204" t="n"/>
      <c r="K378" s="181" t="n"/>
      <c r="L378" s="181" t="n"/>
      <c r="M378" s="181" t="n"/>
      <c r="N378" s="181" t="n"/>
      <c r="O378" s="181" t="n"/>
      <c r="P378" s="181" t="n"/>
      <c r="Q378" s="181" t="n"/>
      <c r="R378" s="181" t="n"/>
      <c r="S378" s="181" t="n"/>
      <c r="T378" s="181" t="n"/>
      <c r="U378" s="181" t="n"/>
      <c r="V378" s="181" t="n"/>
      <c r="W378" s="181" t="n"/>
      <c r="X378" s="181" t="n"/>
      <c r="Y378" s="181" t="n"/>
      <c r="Z378" s="181" t="n"/>
      <c r="AA378" s="181" t="n"/>
      <c r="AB378" s="181" t="n"/>
    </row>
    <row r="379">
      <c r="A379" s="181" t="n"/>
      <c r="B379" s="181" t="n"/>
      <c r="C379" s="181" t="n"/>
      <c r="D379" s="181" t="n"/>
      <c r="E379" s="181" t="n"/>
      <c r="F379" s="204" t="n"/>
      <c r="G379" s="204" t="n"/>
      <c r="H379" s="204" t="n"/>
      <c r="I379" s="204" t="n"/>
      <c r="J379" s="204" t="n"/>
      <c r="K379" s="181" t="n"/>
      <c r="L379" s="181" t="n"/>
      <c r="M379" s="181" t="n"/>
      <c r="N379" s="181" t="n"/>
      <c r="O379" s="181" t="n"/>
      <c r="P379" s="181" t="n"/>
      <c r="Q379" s="181" t="n"/>
      <c r="R379" s="181" t="n"/>
      <c r="S379" s="181" t="n"/>
      <c r="T379" s="181" t="n"/>
      <c r="U379" s="181" t="n"/>
      <c r="V379" s="181" t="n"/>
      <c r="W379" s="181" t="n"/>
      <c r="X379" s="181" t="n"/>
      <c r="Y379" s="181" t="n"/>
      <c r="Z379" s="181" t="n"/>
      <c r="AA379" s="181" t="n"/>
      <c r="AB379" s="181" t="n"/>
    </row>
    <row r="380">
      <c r="A380" s="181" t="n"/>
      <c r="B380" s="181" t="n"/>
      <c r="C380" s="181" t="n"/>
      <c r="D380" s="181" t="n"/>
      <c r="E380" s="181" t="n"/>
      <c r="F380" s="204" t="n"/>
      <c r="G380" s="204" t="n"/>
      <c r="H380" s="204" t="n"/>
      <c r="I380" s="204" t="n"/>
      <c r="J380" s="204" t="n"/>
      <c r="K380" s="181" t="n"/>
      <c r="L380" s="181" t="n"/>
      <c r="M380" s="181" t="n"/>
      <c r="N380" s="181" t="n"/>
      <c r="O380" s="181" t="n"/>
      <c r="P380" s="181" t="n"/>
      <c r="Q380" s="181" t="n"/>
      <c r="R380" s="181" t="n"/>
      <c r="S380" s="181" t="n"/>
      <c r="T380" s="181" t="n"/>
      <c r="U380" s="181" t="n"/>
      <c r="V380" s="181" t="n"/>
      <c r="W380" s="181" t="n"/>
      <c r="X380" s="181" t="n"/>
      <c r="Y380" s="181" t="n"/>
      <c r="Z380" s="181" t="n"/>
      <c r="AA380" s="181" t="n"/>
      <c r="AB380" s="181" t="n"/>
    </row>
    <row r="381">
      <c r="A381" s="181" t="n"/>
      <c r="B381" s="181" t="n"/>
      <c r="C381" s="181" t="n"/>
      <c r="D381" s="181" t="n"/>
      <c r="E381" s="181" t="n"/>
      <c r="F381" s="204" t="n"/>
      <c r="G381" s="204" t="n"/>
      <c r="H381" s="204" t="n"/>
      <c r="I381" s="204" t="n"/>
      <c r="J381" s="204" t="n"/>
      <c r="K381" s="181" t="n"/>
      <c r="L381" s="181" t="n"/>
      <c r="M381" s="181" t="n"/>
      <c r="N381" s="181" t="n"/>
      <c r="O381" s="181" t="n"/>
      <c r="P381" s="181" t="n"/>
      <c r="Q381" s="181" t="n"/>
      <c r="R381" s="181" t="n"/>
      <c r="S381" s="181" t="n"/>
      <c r="T381" s="181" t="n"/>
      <c r="U381" s="181" t="n"/>
      <c r="V381" s="181" t="n"/>
      <c r="W381" s="181" t="n"/>
      <c r="X381" s="181" t="n"/>
      <c r="Y381" s="181" t="n"/>
      <c r="Z381" s="181" t="n"/>
      <c r="AA381" s="181" t="n"/>
      <c r="AB381" s="181" t="n"/>
    </row>
    <row r="382">
      <c r="A382" s="181" t="n"/>
      <c r="B382" s="181" t="n"/>
      <c r="C382" s="181" t="n"/>
      <c r="D382" s="181" t="n"/>
      <c r="E382" s="181" t="n"/>
      <c r="F382" s="204" t="n"/>
      <c r="G382" s="204" t="n"/>
      <c r="H382" s="204" t="n"/>
      <c r="I382" s="204" t="n"/>
      <c r="J382" s="204" t="n"/>
      <c r="K382" s="181" t="n"/>
      <c r="L382" s="181" t="n"/>
      <c r="M382" s="181" t="n"/>
      <c r="N382" s="181" t="n"/>
      <c r="O382" s="181" t="n"/>
      <c r="P382" s="181" t="n"/>
      <c r="Q382" s="181" t="n"/>
      <c r="R382" s="181" t="n"/>
      <c r="S382" s="181" t="n"/>
      <c r="T382" s="181" t="n"/>
      <c r="U382" s="181" t="n"/>
      <c r="V382" s="181" t="n"/>
      <c r="W382" s="181" t="n"/>
      <c r="X382" s="181" t="n"/>
      <c r="Y382" s="181" t="n"/>
      <c r="Z382" s="181" t="n"/>
      <c r="AA382" s="181" t="n"/>
      <c r="AB382" s="181" t="n"/>
    </row>
    <row r="383">
      <c r="A383" s="181" t="n"/>
      <c r="B383" s="181" t="n"/>
      <c r="C383" s="181" t="n"/>
      <c r="D383" s="181" t="n"/>
      <c r="E383" s="181" t="n"/>
      <c r="F383" s="204" t="n"/>
      <c r="G383" s="204" t="n"/>
      <c r="H383" s="204" t="n"/>
      <c r="I383" s="204" t="n"/>
      <c r="J383" s="204" t="n"/>
      <c r="K383" s="181" t="n"/>
      <c r="L383" s="181" t="n"/>
      <c r="M383" s="181" t="n"/>
      <c r="N383" s="181" t="n"/>
      <c r="O383" s="181" t="n"/>
      <c r="P383" s="181" t="n"/>
      <c r="Q383" s="181" t="n"/>
      <c r="R383" s="181" t="n"/>
      <c r="S383" s="181" t="n"/>
      <c r="T383" s="181" t="n"/>
      <c r="U383" s="181" t="n"/>
      <c r="V383" s="181" t="n"/>
      <c r="W383" s="181" t="n"/>
      <c r="X383" s="181" t="n"/>
      <c r="Y383" s="181" t="n"/>
      <c r="Z383" s="181" t="n"/>
      <c r="AA383" s="181" t="n"/>
      <c r="AB383" s="181" t="n"/>
    </row>
    <row r="384">
      <c r="A384" s="181" t="n"/>
      <c r="B384" s="181" t="n"/>
      <c r="C384" s="181" t="n"/>
      <c r="D384" s="181" t="n"/>
      <c r="E384" s="181" t="n"/>
      <c r="F384" s="204" t="n"/>
      <c r="G384" s="204" t="n"/>
      <c r="H384" s="204" t="n"/>
      <c r="I384" s="204" t="n"/>
      <c r="J384" s="204" t="n"/>
      <c r="K384" s="181" t="n"/>
      <c r="L384" s="181" t="n"/>
      <c r="M384" s="181" t="n"/>
      <c r="N384" s="181" t="n"/>
      <c r="O384" s="181" t="n"/>
      <c r="P384" s="181" t="n"/>
      <c r="Q384" s="181" t="n"/>
      <c r="R384" s="181" t="n"/>
      <c r="S384" s="181" t="n"/>
      <c r="T384" s="181" t="n"/>
      <c r="U384" s="181" t="n"/>
      <c r="V384" s="181" t="n"/>
      <c r="W384" s="181" t="n"/>
      <c r="X384" s="181" t="n"/>
      <c r="Y384" s="181" t="n"/>
      <c r="Z384" s="181" t="n"/>
      <c r="AA384" s="181" t="n"/>
      <c r="AB384" s="181" t="n"/>
    </row>
    <row r="385">
      <c r="A385" s="181" t="n"/>
      <c r="B385" s="181" t="n"/>
      <c r="C385" s="181" t="n"/>
      <c r="D385" s="181" t="n"/>
      <c r="E385" s="181" t="n"/>
      <c r="F385" s="204" t="n"/>
      <c r="G385" s="204" t="n"/>
      <c r="H385" s="204" t="n"/>
      <c r="I385" s="204" t="n"/>
      <c r="J385" s="204" t="n"/>
      <c r="K385" s="181" t="n"/>
      <c r="L385" s="181" t="n"/>
      <c r="M385" s="181" t="n"/>
      <c r="N385" s="181" t="n"/>
      <c r="O385" s="181" t="n"/>
      <c r="P385" s="181" t="n"/>
      <c r="Q385" s="181" t="n"/>
      <c r="R385" s="181" t="n"/>
      <c r="S385" s="181" t="n"/>
      <c r="T385" s="181" t="n"/>
      <c r="U385" s="181" t="n"/>
      <c r="V385" s="181" t="n"/>
      <c r="W385" s="181" t="n"/>
      <c r="X385" s="181" t="n"/>
      <c r="Y385" s="181" t="n"/>
      <c r="Z385" s="181" t="n"/>
      <c r="AA385" s="181" t="n"/>
      <c r="AB385" s="181" t="n"/>
    </row>
    <row r="386">
      <c r="A386" s="181" t="n"/>
      <c r="B386" s="181" t="n"/>
      <c r="C386" s="181" t="n"/>
      <c r="D386" s="181" t="n"/>
      <c r="E386" s="181" t="n"/>
      <c r="F386" s="204" t="n"/>
      <c r="G386" s="204" t="n"/>
      <c r="H386" s="204" t="n"/>
      <c r="I386" s="204" t="n"/>
      <c r="J386" s="204" t="n"/>
      <c r="K386" s="181" t="n"/>
      <c r="L386" s="181" t="n"/>
      <c r="M386" s="181" t="n"/>
      <c r="N386" s="181" t="n"/>
      <c r="O386" s="181" t="n"/>
      <c r="P386" s="181" t="n"/>
      <c r="Q386" s="181" t="n"/>
      <c r="R386" s="181" t="n"/>
      <c r="S386" s="181" t="n"/>
      <c r="T386" s="181" t="n"/>
      <c r="U386" s="181" t="n"/>
      <c r="V386" s="181" t="n"/>
      <c r="W386" s="181" t="n"/>
      <c r="X386" s="181" t="n"/>
      <c r="Y386" s="181" t="n"/>
      <c r="Z386" s="181" t="n"/>
      <c r="AA386" s="181" t="n"/>
      <c r="AB386" s="181" t="n"/>
    </row>
    <row r="387">
      <c r="A387" s="181" t="n"/>
      <c r="B387" s="181" t="n"/>
      <c r="C387" s="181" t="n"/>
      <c r="D387" s="181" t="n"/>
      <c r="E387" s="181" t="n"/>
      <c r="F387" s="204" t="n"/>
      <c r="G387" s="204" t="n"/>
      <c r="H387" s="204" t="n"/>
      <c r="I387" s="204" t="n"/>
      <c r="J387" s="204" t="n"/>
      <c r="K387" s="181" t="n"/>
      <c r="L387" s="181" t="n"/>
      <c r="M387" s="181" t="n"/>
      <c r="N387" s="181" t="n"/>
      <c r="O387" s="181" t="n"/>
      <c r="P387" s="181" t="n"/>
      <c r="Q387" s="181" t="n"/>
      <c r="R387" s="181" t="n"/>
      <c r="S387" s="181" t="n"/>
      <c r="T387" s="181" t="n"/>
      <c r="U387" s="181" t="n"/>
      <c r="V387" s="181" t="n"/>
      <c r="W387" s="181" t="n"/>
      <c r="X387" s="181" t="n"/>
      <c r="Y387" s="181" t="n"/>
      <c r="Z387" s="181" t="n"/>
      <c r="AA387" s="181" t="n"/>
      <c r="AB387" s="181" t="n"/>
    </row>
    <row r="388">
      <c r="A388" s="181" t="n"/>
      <c r="B388" s="181" t="n"/>
      <c r="C388" s="181" t="n"/>
      <c r="D388" s="181" t="n"/>
      <c r="E388" s="181" t="n"/>
      <c r="F388" s="204" t="n"/>
      <c r="G388" s="204" t="n"/>
      <c r="H388" s="204" t="n"/>
      <c r="I388" s="204" t="n"/>
      <c r="J388" s="204" t="n"/>
      <c r="K388" s="181" t="n"/>
      <c r="L388" s="181" t="n"/>
      <c r="M388" s="181" t="n"/>
      <c r="N388" s="181" t="n"/>
      <c r="O388" s="181" t="n"/>
      <c r="P388" s="181" t="n"/>
      <c r="Q388" s="181" t="n"/>
      <c r="R388" s="181" t="n"/>
      <c r="S388" s="181" t="n"/>
      <c r="T388" s="181" t="n"/>
      <c r="U388" s="181" t="n"/>
      <c r="V388" s="181" t="n"/>
      <c r="W388" s="181" t="n"/>
      <c r="X388" s="181" t="n"/>
      <c r="Y388" s="181" t="n"/>
      <c r="Z388" s="181" t="n"/>
      <c r="AA388" s="181" t="n"/>
      <c r="AB388" s="181" t="n"/>
    </row>
    <row r="389">
      <c r="A389" s="181" t="n"/>
      <c r="B389" s="181" t="n"/>
      <c r="C389" s="181" t="n"/>
      <c r="D389" s="181" t="n"/>
      <c r="E389" s="181" t="n"/>
      <c r="F389" s="204" t="n"/>
      <c r="G389" s="204" t="n"/>
      <c r="H389" s="204" t="n"/>
      <c r="I389" s="204" t="n"/>
      <c r="J389" s="204" t="n"/>
      <c r="K389" s="181" t="n"/>
      <c r="L389" s="181" t="n"/>
      <c r="M389" s="181" t="n"/>
      <c r="N389" s="181" t="n"/>
      <c r="O389" s="181" t="n"/>
      <c r="P389" s="181" t="n"/>
      <c r="Q389" s="181" t="n"/>
      <c r="R389" s="181" t="n"/>
      <c r="S389" s="181" t="n"/>
      <c r="T389" s="181" t="n"/>
      <c r="U389" s="181" t="n"/>
      <c r="V389" s="181" t="n"/>
      <c r="W389" s="181" t="n"/>
      <c r="X389" s="181" t="n"/>
      <c r="Y389" s="181" t="n"/>
      <c r="Z389" s="181" t="n"/>
      <c r="AA389" s="181" t="n"/>
      <c r="AB389" s="181" t="n"/>
    </row>
    <row r="390">
      <c r="A390" s="181" t="n"/>
      <c r="B390" s="181" t="n"/>
      <c r="C390" s="181" t="n"/>
      <c r="D390" s="181" t="n"/>
      <c r="E390" s="181" t="n"/>
      <c r="F390" s="204" t="n"/>
      <c r="G390" s="204" t="n"/>
      <c r="H390" s="204" t="n"/>
      <c r="I390" s="204" t="n"/>
      <c r="J390" s="204" t="n"/>
      <c r="K390" s="181" t="n"/>
      <c r="L390" s="181" t="n"/>
      <c r="M390" s="181" t="n"/>
      <c r="N390" s="181" t="n"/>
      <c r="O390" s="181" t="n"/>
      <c r="P390" s="181" t="n"/>
      <c r="Q390" s="181" t="n"/>
      <c r="R390" s="181" t="n"/>
      <c r="S390" s="181" t="n"/>
      <c r="T390" s="181" t="n"/>
      <c r="U390" s="181" t="n"/>
      <c r="V390" s="181" t="n"/>
      <c r="W390" s="181" t="n"/>
      <c r="X390" s="181" t="n"/>
      <c r="Y390" s="181" t="n"/>
      <c r="Z390" s="181" t="n"/>
      <c r="AA390" s="181" t="n"/>
      <c r="AB390" s="181" t="n"/>
    </row>
    <row r="391">
      <c r="A391" s="181" t="n"/>
      <c r="B391" s="181" t="n"/>
      <c r="C391" s="181" t="n"/>
      <c r="D391" s="181" t="n"/>
      <c r="E391" s="181" t="n"/>
      <c r="F391" s="204" t="n"/>
      <c r="G391" s="204" t="n"/>
      <c r="H391" s="204" t="n"/>
      <c r="I391" s="204" t="n"/>
      <c r="J391" s="204" t="n"/>
      <c r="K391" s="181" t="n"/>
      <c r="L391" s="181" t="n"/>
      <c r="M391" s="181" t="n"/>
      <c r="N391" s="181" t="n"/>
      <c r="O391" s="181" t="n"/>
      <c r="P391" s="181" t="n"/>
      <c r="Q391" s="181" t="n"/>
      <c r="R391" s="181" t="n"/>
      <c r="S391" s="181" t="n"/>
      <c r="T391" s="181" t="n"/>
      <c r="U391" s="181" t="n"/>
      <c r="V391" s="181" t="n"/>
      <c r="W391" s="181" t="n"/>
      <c r="X391" s="181" t="n"/>
      <c r="Y391" s="181" t="n"/>
      <c r="Z391" s="181" t="n"/>
      <c r="AA391" s="181" t="n"/>
      <c r="AB391" s="181" t="n"/>
    </row>
    <row r="392">
      <c r="A392" s="181" t="n"/>
      <c r="B392" s="181" t="n"/>
      <c r="C392" s="181" t="n"/>
      <c r="D392" s="181" t="n"/>
      <c r="E392" s="181" t="n"/>
      <c r="F392" s="204" t="n"/>
      <c r="G392" s="204" t="n"/>
      <c r="H392" s="204" t="n"/>
      <c r="I392" s="204" t="n"/>
      <c r="J392" s="204" t="n"/>
      <c r="K392" s="181" t="n"/>
      <c r="L392" s="181" t="n"/>
      <c r="M392" s="181" t="n"/>
      <c r="N392" s="181" t="n"/>
      <c r="O392" s="181" t="n"/>
      <c r="P392" s="181" t="n"/>
      <c r="Q392" s="181" t="n"/>
      <c r="R392" s="181" t="n"/>
      <c r="S392" s="181" t="n"/>
      <c r="T392" s="181" t="n"/>
      <c r="U392" s="181" t="n"/>
      <c r="V392" s="181" t="n"/>
      <c r="W392" s="181" t="n"/>
      <c r="X392" s="181" t="n"/>
      <c r="Y392" s="181" t="n"/>
      <c r="Z392" s="181" t="n"/>
      <c r="AA392" s="181" t="n"/>
      <c r="AB392" s="181" t="n"/>
    </row>
    <row r="393">
      <c r="A393" s="181" t="n"/>
      <c r="B393" s="181" t="n"/>
      <c r="C393" s="181" t="n"/>
      <c r="D393" s="181" t="n"/>
      <c r="E393" s="181" t="n"/>
      <c r="F393" s="204" t="n"/>
      <c r="G393" s="204" t="n"/>
      <c r="H393" s="204" t="n"/>
      <c r="I393" s="204" t="n"/>
      <c r="J393" s="204" t="n"/>
      <c r="K393" s="181" t="n"/>
      <c r="L393" s="181" t="n"/>
      <c r="M393" s="181" t="n"/>
      <c r="N393" s="181" t="n"/>
      <c r="O393" s="181" t="n"/>
      <c r="P393" s="181" t="n"/>
      <c r="Q393" s="181" t="n"/>
      <c r="R393" s="181" t="n"/>
      <c r="S393" s="181" t="n"/>
      <c r="T393" s="181" t="n"/>
      <c r="U393" s="181" t="n"/>
      <c r="V393" s="181" t="n"/>
      <c r="W393" s="181" t="n"/>
      <c r="X393" s="181" t="n"/>
      <c r="Y393" s="181" t="n"/>
      <c r="Z393" s="181" t="n"/>
      <c r="AA393" s="181" t="n"/>
      <c r="AB393" s="181" t="n"/>
    </row>
    <row r="394">
      <c r="A394" s="181" t="n"/>
      <c r="B394" s="181" t="n"/>
      <c r="C394" s="181" t="n"/>
      <c r="D394" s="181" t="n"/>
      <c r="E394" s="181" t="n"/>
      <c r="F394" s="204" t="n"/>
      <c r="G394" s="204" t="n"/>
      <c r="H394" s="204" t="n"/>
      <c r="I394" s="204" t="n"/>
      <c r="J394" s="204" t="n"/>
      <c r="K394" s="181" t="n"/>
      <c r="L394" s="181" t="n"/>
      <c r="M394" s="181" t="n"/>
      <c r="N394" s="181" t="n"/>
      <c r="O394" s="181" t="n"/>
      <c r="P394" s="181" t="n"/>
      <c r="Q394" s="181" t="n"/>
      <c r="R394" s="181" t="n"/>
      <c r="S394" s="181" t="n"/>
      <c r="T394" s="181" t="n"/>
      <c r="U394" s="181" t="n"/>
      <c r="V394" s="181" t="n"/>
      <c r="W394" s="181" t="n"/>
      <c r="X394" s="181" t="n"/>
      <c r="Y394" s="181" t="n"/>
      <c r="Z394" s="181" t="n"/>
      <c r="AA394" s="181" t="n"/>
      <c r="AB394" s="181" t="n"/>
    </row>
    <row r="395">
      <c r="A395" s="181" t="n"/>
      <c r="B395" s="181" t="n"/>
      <c r="C395" s="181" t="n"/>
      <c r="D395" s="181" t="n"/>
      <c r="E395" s="181" t="n"/>
      <c r="F395" s="204" t="n"/>
      <c r="G395" s="204" t="n"/>
      <c r="H395" s="204" t="n"/>
      <c r="I395" s="204" t="n"/>
      <c r="J395" s="204" t="n"/>
      <c r="K395" s="181" t="n"/>
      <c r="L395" s="181" t="n"/>
      <c r="M395" s="181" t="n"/>
      <c r="N395" s="181" t="n"/>
      <c r="O395" s="181" t="n"/>
      <c r="P395" s="181" t="n"/>
      <c r="Q395" s="181" t="n"/>
      <c r="R395" s="181" t="n"/>
      <c r="S395" s="181" t="n"/>
      <c r="T395" s="181" t="n"/>
      <c r="U395" s="181" t="n"/>
      <c r="V395" s="181" t="n"/>
      <c r="W395" s="181" t="n"/>
      <c r="X395" s="181" t="n"/>
      <c r="Y395" s="181" t="n"/>
      <c r="Z395" s="181" t="n"/>
      <c r="AA395" s="181" t="n"/>
      <c r="AB395" s="181" t="n"/>
    </row>
    <row r="396">
      <c r="A396" s="181" t="n"/>
      <c r="B396" s="181" t="n"/>
      <c r="C396" s="181" t="n"/>
      <c r="D396" s="181" t="n"/>
      <c r="E396" s="181" t="n"/>
      <c r="F396" s="204" t="n"/>
      <c r="G396" s="204" t="n"/>
      <c r="H396" s="204" t="n"/>
      <c r="I396" s="204" t="n"/>
      <c r="J396" s="204" t="n"/>
      <c r="K396" s="181" t="n"/>
      <c r="L396" s="181" t="n"/>
      <c r="M396" s="181" t="n"/>
      <c r="N396" s="181" t="n"/>
      <c r="O396" s="181" t="n"/>
      <c r="P396" s="181" t="n"/>
      <c r="Q396" s="181" t="n"/>
      <c r="R396" s="181" t="n"/>
      <c r="S396" s="181" t="n"/>
      <c r="T396" s="181" t="n"/>
      <c r="U396" s="181" t="n"/>
      <c r="V396" s="181" t="n"/>
      <c r="W396" s="181" t="n"/>
      <c r="X396" s="181" t="n"/>
      <c r="Y396" s="181" t="n"/>
      <c r="Z396" s="181" t="n"/>
      <c r="AA396" s="181" t="n"/>
      <c r="AB396" s="181" t="n"/>
    </row>
    <row r="397">
      <c r="A397" s="181" t="n"/>
      <c r="B397" s="181" t="n"/>
      <c r="C397" s="181" t="n"/>
      <c r="D397" s="181" t="n"/>
      <c r="E397" s="181" t="n"/>
      <c r="F397" s="204" t="n"/>
      <c r="G397" s="204" t="n"/>
      <c r="H397" s="204" t="n"/>
      <c r="I397" s="204" t="n"/>
      <c r="J397" s="204" t="n"/>
      <c r="K397" s="181" t="n"/>
      <c r="L397" s="181" t="n"/>
      <c r="M397" s="181" t="n"/>
      <c r="N397" s="181" t="n"/>
      <c r="O397" s="181" t="n"/>
      <c r="P397" s="181" t="n"/>
      <c r="Q397" s="181" t="n"/>
      <c r="R397" s="181" t="n"/>
      <c r="S397" s="181" t="n"/>
      <c r="T397" s="181" t="n"/>
      <c r="U397" s="181" t="n"/>
      <c r="V397" s="181" t="n"/>
      <c r="W397" s="181" t="n"/>
      <c r="X397" s="181" t="n"/>
      <c r="Y397" s="181" t="n"/>
      <c r="Z397" s="181" t="n"/>
      <c r="AA397" s="181" t="n"/>
      <c r="AB397" s="181" t="n"/>
    </row>
    <row r="398">
      <c r="A398" s="181" t="n"/>
      <c r="B398" s="181" t="n"/>
      <c r="C398" s="181" t="n"/>
      <c r="D398" s="181" t="n"/>
      <c r="E398" s="181" t="n"/>
      <c r="F398" s="204" t="n"/>
      <c r="G398" s="204" t="n"/>
      <c r="H398" s="204" t="n"/>
      <c r="I398" s="204" t="n"/>
      <c r="J398" s="204" t="n"/>
      <c r="K398" s="181" t="n"/>
      <c r="L398" s="181" t="n"/>
      <c r="M398" s="181" t="n"/>
      <c r="N398" s="181" t="n"/>
      <c r="O398" s="181" t="n"/>
      <c r="P398" s="181" t="n"/>
      <c r="Q398" s="181" t="n"/>
      <c r="R398" s="181" t="n"/>
      <c r="S398" s="181" t="n"/>
      <c r="T398" s="181" t="n"/>
      <c r="U398" s="181" t="n"/>
      <c r="V398" s="181" t="n"/>
      <c r="W398" s="181" t="n"/>
      <c r="X398" s="181" t="n"/>
      <c r="Y398" s="181" t="n"/>
      <c r="Z398" s="181" t="n"/>
      <c r="AA398" s="181" t="n"/>
      <c r="AB398" s="181" t="n"/>
    </row>
    <row r="399">
      <c r="A399" s="181" t="n"/>
      <c r="B399" s="181" t="n"/>
      <c r="C399" s="181" t="n"/>
      <c r="D399" s="181" t="n"/>
      <c r="E399" s="181" t="n"/>
      <c r="F399" s="204" t="n"/>
      <c r="G399" s="204" t="n"/>
      <c r="H399" s="204" t="n"/>
      <c r="I399" s="204" t="n"/>
      <c r="J399" s="204" t="n"/>
      <c r="K399" s="181" t="n"/>
      <c r="L399" s="181" t="n"/>
      <c r="M399" s="181" t="n"/>
      <c r="N399" s="181" t="n"/>
      <c r="O399" s="181" t="n"/>
      <c r="P399" s="181" t="n"/>
      <c r="Q399" s="181" t="n"/>
      <c r="R399" s="181" t="n"/>
      <c r="S399" s="181" t="n"/>
      <c r="T399" s="181" t="n"/>
      <c r="U399" s="181" t="n"/>
      <c r="V399" s="181" t="n"/>
      <c r="W399" s="181" t="n"/>
      <c r="X399" s="181" t="n"/>
      <c r="Y399" s="181" t="n"/>
      <c r="Z399" s="181" t="n"/>
      <c r="AA399" s="181" t="n"/>
      <c r="AB399" s="181" t="n"/>
    </row>
    <row r="400">
      <c r="A400" s="181" t="n"/>
      <c r="B400" s="181" t="n"/>
      <c r="C400" s="181" t="n"/>
      <c r="D400" s="181" t="n"/>
      <c r="E400" s="181" t="n"/>
      <c r="F400" s="204" t="n"/>
      <c r="G400" s="204" t="n"/>
      <c r="H400" s="204" t="n"/>
      <c r="I400" s="204" t="n"/>
      <c r="J400" s="204" t="n"/>
      <c r="K400" s="181" t="n"/>
      <c r="L400" s="181" t="n"/>
      <c r="M400" s="181" t="n"/>
      <c r="N400" s="181" t="n"/>
      <c r="O400" s="181" t="n"/>
      <c r="P400" s="181" t="n"/>
      <c r="Q400" s="181" t="n"/>
      <c r="R400" s="181" t="n"/>
      <c r="S400" s="181" t="n"/>
      <c r="T400" s="181" t="n"/>
      <c r="U400" s="181" t="n"/>
      <c r="V400" s="181" t="n"/>
      <c r="W400" s="181" t="n"/>
      <c r="X400" s="181" t="n"/>
      <c r="Y400" s="181" t="n"/>
      <c r="Z400" s="181" t="n"/>
      <c r="AA400" s="181" t="n"/>
      <c r="AB400" s="181" t="n"/>
    </row>
    <row r="401">
      <c r="A401" s="181" t="n"/>
      <c r="B401" s="181" t="n"/>
      <c r="C401" s="181" t="n"/>
      <c r="D401" s="181" t="n"/>
      <c r="E401" s="181" t="n"/>
      <c r="F401" s="204" t="n"/>
      <c r="G401" s="204" t="n"/>
      <c r="H401" s="204" t="n"/>
      <c r="I401" s="204" t="n"/>
      <c r="J401" s="204" t="n"/>
      <c r="K401" s="181" t="n"/>
      <c r="L401" s="181" t="n"/>
      <c r="M401" s="181" t="n"/>
      <c r="N401" s="181" t="n"/>
      <c r="O401" s="181" t="n"/>
      <c r="P401" s="181" t="n"/>
      <c r="Q401" s="181" t="n"/>
      <c r="R401" s="181" t="n"/>
      <c r="S401" s="181" t="n"/>
      <c r="T401" s="181" t="n"/>
      <c r="U401" s="181" t="n"/>
      <c r="V401" s="181" t="n"/>
      <c r="W401" s="181" t="n"/>
      <c r="X401" s="181" t="n"/>
      <c r="Y401" s="181" t="n"/>
      <c r="Z401" s="181" t="n"/>
      <c r="AA401" s="181" t="n"/>
      <c r="AB401" s="181" t="n"/>
    </row>
    <row r="402">
      <c r="A402" s="181" t="n"/>
      <c r="B402" s="181" t="n"/>
      <c r="C402" s="181" t="n"/>
      <c r="D402" s="181" t="n"/>
      <c r="E402" s="181" t="n"/>
      <c r="F402" s="204" t="n"/>
      <c r="G402" s="204" t="n"/>
      <c r="H402" s="204" t="n"/>
      <c r="I402" s="204" t="n"/>
      <c r="J402" s="204" t="n"/>
      <c r="K402" s="181" t="n"/>
      <c r="L402" s="181" t="n"/>
      <c r="M402" s="181" t="n"/>
      <c r="N402" s="181" t="n"/>
      <c r="O402" s="181" t="n"/>
      <c r="P402" s="181" t="n"/>
      <c r="Q402" s="181" t="n"/>
      <c r="R402" s="181" t="n"/>
      <c r="S402" s="181" t="n"/>
      <c r="T402" s="181" t="n"/>
      <c r="U402" s="181" t="n"/>
      <c r="V402" s="181" t="n"/>
      <c r="W402" s="181" t="n"/>
      <c r="X402" s="181" t="n"/>
      <c r="Y402" s="181" t="n"/>
      <c r="Z402" s="181" t="n"/>
      <c r="AA402" s="181" t="n"/>
      <c r="AB402" s="181" t="n"/>
    </row>
    <row r="403">
      <c r="A403" s="181" t="n"/>
      <c r="B403" s="181" t="n"/>
      <c r="C403" s="171" t="n"/>
      <c r="D403" s="171" t="n"/>
      <c r="E403" s="181" t="n"/>
      <c r="F403" s="204" t="n"/>
      <c r="G403" s="204" t="n"/>
      <c r="H403" s="204" t="n"/>
      <c r="I403" s="204" t="n"/>
      <c r="J403" s="204" t="n"/>
      <c r="K403" s="181" t="n"/>
      <c r="L403" s="181" t="n"/>
      <c r="M403" s="181" t="n"/>
      <c r="N403" s="181" t="n"/>
      <c r="O403" s="181" t="n"/>
      <c r="P403" s="181" t="n"/>
      <c r="Q403" s="181" t="n"/>
      <c r="R403" s="181" t="n"/>
      <c r="S403" s="181" t="n"/>
      <c r="T403" s="181" t="n"/>
      <c r="U403" s="181" t="n"/>
      <c r="V403" s="181" t="n"/>
      <c r="W403" s="181" t="n"/>
      <c r="X403" s="181" t="n"/>
      <c r="Y403" s="181" t="n"/>
      <c r="Z403" s="181" t="n"/>
      <c r="AA403" s="181" t="n"/>
      <c r="AB403" s="181" t="n"/>
    </row>
    <row r="404">
      <c r="A404" s="181" t="n"/>
      <c r="B404" s="181" t="n"/>
      <c r="C404" s="171" t="n"/>
      <c r="D404" s="171" t="n"/>
      <c r="E404" s="181" t="n"/>
      <c r="F404" s="204" t="n"/>
      <c r="G404" s="204" t="n"/>
      <c r="H404" s="204" t="n"/>
      <c r="I404" s="204" t="n"/>
      <c r="J404" s="204" t="n"/>
      <c r="K404" s="181" t="n"/>
      <c r="L404" s="181" t="n"/>
      <c r="M404" s="181" t="n"/>
      <c r="N404" s="181" t="n"/>
      <c r="O404" s="181" t="n"/>
      <c r="P404" s="181" t="n"/>
      <c r="Q404" s="181" t="n"/>
      <c r="R404" s="181" t="n"/>
      <c r="S404" s="181" t="n"/>
      <c r="T404" s="181" t="n"/>
      <c r="U404" s="181" t="n"/>
      <c r="V404" s="181" t="n"/>
      <c r="W404" s="181" t="n"/>
      <c r="X404" s="181" t="n"/>
      <c r="Y404" s="181" t="n"/>
      <c r="Z404" s="181" t="n"/>
      <c r="AA404" s="181" t="n"/>
      <c r="AB404" s="181" t="n"/>
    </row>
    <row r="405">
      <c r="A405" s="181" t="n"/>
      <c r="B405" s="181" t="n"/>
      <c r="C405" s="171" t="n"/>
      <c r="D405" s="171" t="n"/>
      <c r="E405" s="181" t="n"/>
      <c r="F405" s="204" t="n"/>
      <c r="G405" s="204" t="n"/>
      <c r="H405" s="204" t="n"/>
      <c r="I405" s="204" t="n"/>
      <c r="J405" s="204" t="n"/>
      <c r="K405" s="181" t="n"/>
      <c r="L405" s="181" t="n"/>
      <c r="M405" s="181" t="n"/>
      <c r="N405" s="181" t="n"/>
      <c r="O405" s="181" t="n"/>
      <c r="P405" s="181" t="n"/>
      <c r="Q405" s="181" t="n"/>
      <c r="R405" s="181" t="n"/>
      <c r="S405" s="181" t="n"/>
      <c r="T405" s="181" t="n"/>
      <c r="U405" s="181" t="n"/>
      <c r="V405" s="181" t="n"/>
      <c r="W405" s="181" t="n"/>
      <c r="X405" s="181" t="n"/>
      <c r="Y405" s="181" t="n"/>
      <c r="Z405" s="181" t="n"/>
      <c r="AA405" s="181" t="n"/>
      <c r="AB405" s="181" t="n"/>
    </row>
    <row r="406">
      <c r="A406" s="181" t="n"/>
      <c r="B406" s="181" t="n"/>
      <c r="C406" s="171" t="n"/>
      <c r="D406" s="171" t="n"/>
      <c r="E406" s="181" t="n"/>
      <c r="F406" s="204" t="n"/>
      <c r="G406" s="204" t="n"/>
      <c r="H406" s="204" t="n"/>
      <c r="I406" s="204" t="n"/>
      <c r="J406" s="204" t="n"/>
      <c r="K406" s="181" t="n"/>
      <c r="L406" s="181" t="n"/>
      <c r="M406" s="181" t="n"/>
      <c r="N406" s="181" t="n"/>
      <c r="O406" s="181" t="n"/>
      <c r="P406" s="181" t="n"/>
      <c r="Q406" s="181" t="n"/>
      <c r="R406" s="181" t="n"/>
      <c r="S406" s="181" t="n"/>
      <c r="T406" s="181" t="n"/>
      <c r="U406" s="181" t="n"/>
      <c r="V406" s="181" t="n"/>
      <c r="W406" s="181" t="n"/>
      <c r="X406" s="181" t="n"/>
      <c r="Y406" s="181" t="n"/>
      <c r="Z406" s="181" t="n"/>
      <c r="AA406" s="181" t="n"/>
      <c r="AB406" s="181" t="n"/>
    </row>
    <row r="407">
      <c r="A407" s="181" t="n"/>
      <c r="B407" s="181" t="n"/>
      <c r="C407" s="171" t="n"/>
      <c r="D407" s="171" t="n"/>
      <c r="E407" s="181" t="n"/>
      <c r="F407" s="204" t="n"/>
      <c r="G407" s="204" t="n"/>
      <c r="H407" s="204" t="n"/>
      <c r="I407" s="204" t="n"/>
      <c r="J407" s="204" t="n"/>
      <c r="K407" s="181" t="n"/>
      <c r="L407" s="181" t="n"/>
      <c r="M407" s="181" t="n"/>
      <c r="N407" s="181" t="n"/>
      <c r="O407" s="181" t="n"/>
      <c r="P407" s="181" t="n"/>
      <c r="Q407" s="181" t="n"/>
      <c r="R407" s="181" t="n"/>
      <c r="S407" s="181" t="n"/>
      <c r="T407" s="181" t="n"/>
      <c r="U407" s="181" t="n"/>
      <c r="V407" s="181" t="n"/>
      <c r="W407" s="181" t="n"/>
      <c r="X407" s="181" t="n"/>
      <c r="Y407" s="181" t="n"/>
      <c r="Z407" s="181" t="n"/>
      <c r="AA407" s="181" t="n"/>
      <c r="AB407" s="181" t="n"/>
    </row>
    <row r="408">
      <c r="A408" s="181" t="n"/>
      <c r="B408" s="181" t="n"/>
      <c r="C408" s="171" t="n"/>
      <c r="D408" s="171" t="n"/>
      <c r="E408" s="181" t="n"/>
      <c r="F408" s="204" t="n"/>
      <c r="G408" s="204" t="n"/>
      <c r="H408" s="204" t="n"/>
      <c r="I408" s="204" t="n"/>
      <c r="J408" s="204" t="n"/>
      <c r="K408" s="181" t="n"/>
      <c r="L408" s="181" t="n"/>
      <c r="M408" s="181" t="n"/>
      <c r="N408" s="181" t="n"/>
      <c r="O408" s="181" t="n"/>
      <c r="P408" s="181" t="n"/>
      <c r="Q408" s="181" t="n"/>
      <c r="R408" s="181" t="n"/>
      <c r="S408" s="181" t="n"/>
      <c r="T408" s="181" t="n"/>
      <c r="U408" s="181" t="n"/>
      <c r="V408" s="181" t="n"/>
      <c r="W408" s="181" t="n"/>
      <c r="X408" s="181" t="n"/>
      <c r="Y408" s="181" t="n"/>
      <c r="Z408" s="181" t="n"/>
      <c r="AA408" s="181" t="n"/>
      <c r="AB408" s="181" t="n"/>
    </row>
    <row r="409">
      <c r="A409" s="181" t="n"/>
      <c r="B409" s="181" t="n"/>
      <c r="C409" s="171" t="n"/>
      <c r="D409" s="171" t="n"/>
      <c r="E409" s="181" t="n"/>
      <c r="F409" s="204" t="n"/>
      <c r="G409" s="204" t="n"/>
      <c r="H409" s="204" t="n"/>
      <c r="I409" s="204" t="n"/>
      <c r="J409" s="204" t="n"/>
      <c r="K409" s="181" t="n"/>
      <c r="L409" s="181" t="n"/>
      <c r="M409" s="181" t="n"/>
      <c r="N409" s="181" t="n"/>
      <c r="O409" s="181" t="n"/>
      <c r="P409" s="181" t="n"/>
      <c r="Q409" s="181" t="n"/>
      <c r="R409" s="181" t="n"/>
      <c r="S409" s="181" t="n"/>
      <c r="T409" s="181" t="n"/>
      <c r="U409" s="181" t="n"/>
      <c r="V409" s="181" t="n"/>
      <c r="W409" s="181" t="n"/>
      <c r="X409" s="181" t="n"/>
      <c r="Y409" s="181" t="n"/>
      <c r="Z409" s="181" t="n"/>
      <c r="AA409" s="181" t="n"/>
      <c r="AB409" s="181" t="n"/>
    </row>
    <row r="410">
      <c r="A410" s="181" t="n"/>
      <c r="B410" s="181" t="n"/>
      <c r="C410" s="171" t="n"/>
      <c r="D410" s="171" t="n"/>
      <c r="E410" s="181" t="n"/>
      <c r="F410" s="204" t="n"/>
      <c r="G410" s="204" t="n"/>
      <c r="H410" s="204" t="n"/>
      <c r="I410" s="204" t="n"/>
      <c r="J410" s="204" t="n"/>
      <c r="K410" s="181" t="n"/>
      <c r="L410" s="181" t="n"/>
      <c r="M410" s="181" t="n"/>
      <c r="N410" s="181" t="n"/>
      <c r="O410" s="181" t="n"/>
      <c r="P410" s="181" t="n"/>
      <c r="Q410" s="181" t="n"/>
      <c r="R410" s="181" t="n"/>
      <c r="S410" s="181" t="n"/>
      <c r="T410" s="181" t="n"/>
      <c r="U410" s="181" t="n"/>
      <c r="V410" s="181" t="n"/>
      <c r="W410" s="181" t="n"/>
      <c r="X410" s="181" t="n"/>
      <c r="Y410" s="181" t="n"/>
      <c r="Z410" s="181" t="n"/>
      <c r="AA410" s="181" t="n"/>
      <c r="AB410" s="181" t="n"/>
    </row>
    <row r="411">
      <c r="A411" s="181" t="n"/>
      <c r="B411" s="181" t="n"/>
      <c r="C411" s="171" t="n"/>
      <c r="D411" s="171" t="n"/>
      <c r="E411" s="181" t="n"/>
      <c r="F411" s="204" t="n"/>
      <c r="G411" s="204" t="n"/>
      <c r="H411" s="204" t="n"/>
      <c r="I411" s="204" t="n"/>
      <c r="J411" s="204" t="n"/>
      <c r="K411" s="181" t="n"/>
      <c r="L411" s="181" t="n"/>
      <c r="M411" s="181" t="n"/>
      <c r="N411" s="181" t="n"/>
      <c r="O411" s="181" t="n"/>
      <c r="P411" s="181" t="n"/>
      <c r="Q411" s="181" t="n"/>
      <c r="R411" s="181" t="n"/>
      <c r="S411" s="181" t="n"/>
      <c r="T411" s="181" t="n"/>
      <c r="U411" s="181" t="n"/>
      <c r="V411" s="181" t="n"/>
      <c r="W411" s="181" t="n"/>
      <c r="X411" s="181" t="n"/>
      <c r="Y411" s="181" t="n"/>
      <c r="Z411" s="181" t="n"/>
      <c r="AA411" s="181" t="n"/>
      <c r="AB411" s="181" t="n"/>
    </row>
    <row r="412">
      <c r="A412" s="181" t="n"/>
      <c r="B412" s="181" t="n"/>
      <c r="C412" s="171" t="n"/>
      <c r="D412" s="171" t="n"/>
      <c r="E412" s="181" t="n"/>
      <c r="F412" s="204" t="n"/>
      <c r="G412" s="204" t="n"/>
      <c r="H412" s="204" t="n"/>
      <c r="I412" s="204" t="n"/>
      <c r="J412" s="204" t="n"/>
      <c r="K412" s="181" t="n"/>
      <c r="L412" s="181" t="n"/>
      <c r="M412" s="181" t="n"/>
      <c r="N412" s="181" t="n"/>
      <c r="O412" s="181" t="n"/>
      <c r="P412" s="181" t="n"/>
      <c r="Q412" s="181" t="n"/>
      <c r="R412" s="181" t="n"/>
      <c r="S412" s="181" t="n"/>
      <c r="T412" s="181" t="n"/>
      <c r="U412" s="181" t="n"/>
      <c r="V412" s="181" t="n"/>
      <c r="W412" s="181" t="n"/>
      <c r="X412" s="181" t="n"/>
      <c r="Y412" s="181" t="n"/>
      <c r="Z412" s="181" t="n"/>
      <c r="AA412" s="181" t="n"/>
      <c r="AB412" s="181" t="n"/>
    </row>
    <row r="413">
      <c r="A413" s="181" t="n"/>
      <c r="B413" s="181" t="n"/>
      <c r="C413" s="171" t="n"/>
      <c r="D413" s="171" t="n"/>
      <c r="E413" s="181" t="n"/>
      <c r="F413" s="204" t="n"/>
      <c r="G413" s="204" t="n"/>
      <c r="H413" s="204" t="n"/>
      <c r="I413" s="204" t="n"/>
      <c r="J413" s="204" t="n"/>
      <c r="K413" s="181" t="n"/>
      <c r="L413" s="181" t="n"/>
      <c r="M413" s="181" t="n"/>
      <c r="N413" s="181" t="n"/>
      <c r="O413" s="181" t="n"/>
      <c r="P413" s="181" t="n"/>
      <c r="Q413" s="181" t="n"/>
      <c r="R413" s="181" t="n"/>
      <c r="S413" s="181" t="n"/>
      <c r="T413" s="181" t="n"/>
      <c r="U413" s="181" t="n"/>
      <c r="V413" s="181" t="n"/>
      <c r="W413" s="181" t="n"/>
      <c r="X413" s="181" t="n"/>
      <c r="Y413" s="181" t="n"/>
      <c r="Z413" s="181" t="n"/>
      <c r="AA413" s="181" t="n"/>
      <c r="AB413" s="181" t="n"/>
    </row>
    <row r="414">
      <c r="A414" s="181" t="n"/>
      <c r="B414" s="181" t="n"/>
      <c r="C414" s="171" t="n"/>
      <c r="D414" s="171" t="n"/>
      <c r="E414" s="181" t="n"/>
      <c r="F414" s="204" t="n"/>
      <c r="G414" s="204" t="n"/>
      <c r="H414" s="204" t="n"/>
      <c r="I414" s="204" t="n"/>
      <c r="J414" s="204" t="n"/>
      <c r="K414" s="181" t="n"/>
      <c r="L414" s="181" t="n"/>
      <c r="M414" s="181" t="n"/>
      <c r="N414" s="181" t="n"/>
      <c r="O414" s="181" t="n"/>
      <c r="P414" s="181" t="n"/>
      <c r="Q414" s="181" t="n"/>
      <c r="R414" s="181" t="n"/>
      <c r="S414" s="181" t="n"/>
      <c r="T414" s="181" t="n"/>
      <c r="U414" s="181" t="n"/>
      <c r="V414" s="181" t="n"/>
      <c r="W414" s="181" t="n"/>
      <c r="X414" s="181" t="n"/>
      <c r="Y414" s="181" t="n"/>
      <c r="Z414" s="181" t="n"/>
      <c r="AA414" s="181" t="n"/>
      <c r="AB414" s="181" t="n"/>
    </row>
    <row r="415">
      <c r="A415" s="181" t="n"/>
      <c r="B415" s="181" t="n"/>
      <c r="C415" s="171" t="n"/>
      <c r="D415" s="171" t="n"/>
      <c r="E415" s="181" t="n"/>
      <c r="F415" s="204" t="n"/>
      <c r="G415" s="204" t="n"/>
      <c r="H415" s="204" t="n"/>
      <c r="I415" s="204" t="n"/>
      <c r="J415" s="204" t="n"/>
      <c r="K415" s="181" t="n"/>
      <c r="L415" s="181" t="n"/>
      <c r="M415" s="181" t="n"/>
      <c r="N415" s="181" t="n"/>
      <c r="O415" s="181" t="n"/>
      <c r="P415" s="181" t="n"/>
      <c r="Q415" s="181" t="n"/>
      <c r="R415" s="181" t="n"/>
      <c r="S415" s="181" t="n"/>
      <c r="T415" s="181" t="n"/>
      <c r="U415" s="181" t="n"/>
      <c r="V415" s="181" t="n"/>
      <c r="W415" s="181" t="n"/>
      <c r="X415" s="181" t="n"/>
      <c r="Y415" s="181" t="n"/>
      <c r="Z415" s="181" t="n"/>
      <c r="AA415" s="181" t="n"/>
      <c r="AB415" s="181" t="n"/>
    </row>
    <row r="416">
      <c r="A416" s="181" t="n"/>
      <c r="B416" s="181" t="n"/>
      <c r="C416" s="171" t="n"/>
      <c r="D416" s="171" t="n"/>
      <c r="E416" s="181" t="n"/>
      <c r="F416" s="204" t="n"/>
      <c r="G416" s="204" t="n"/>
      <c r="H416" s="204" t="n"/>
      <c r="I416" s="204" t="n"/>
      <c r="J416" s="204" t="n"/>
      <c r="K416" s="181" t="n"/>
      <c r="L416" s="181" t="n"/>
      <c r="M416" s="181" t="n"/>
      <c r="N416" s="181" t="n"/>
      <c r="O416" s="181" t="n"/>
      <c r="P416" s="181" t="n"/>
      <c r="Q416" s="181" t="n"/>
      <c r="R416" s="181" t="n"/>
      <c r="S416" s="181" t="n"/>
      <c r="T416" s="181" t="n"/>
      <c r="U416" s="181" t="n"/>
      <c r="V416" s="181" t="n"/>
      <c r="W416" s="181" t="n"/>
      <c r="X416" s="181" t="n"/>
      <c r="Y416" s="181" t="n"/>
      <c r="Z416" s="181" t="n"/>
      <c r="AA416" s="181" t="n"/>
      <c r="AB416" s="181" t="n"/>
    </row>
    <row r="417">
      <c r="A417" s="181" t="n"/>
      <c r="B417" s="181" t="n"/>
      <c r="C417" s="171" t="n"/>
      <c r="D417" s="171" t="n"/>
      <c r="E417" s="181" t="n"/>
      <c r="F417" s="204" t="n"/>
      <c r="G417" s="204" t="n"/>
      <c r="H417" s="204" t="n"/>
      <c r="I417" s="204" t="n"/>
      <c r="J417" s="204" t="n"/>
      <c r="K417" s="181" t="n"/>
      <c r="L417" s="181" t="n"/>
      <c r="M417" s="181" t="n"/>
      <c r="N417" s="181" t="n"/>
      <c r="O417" s="181" t="n"/>
      <c r="P417" s="181" t="n"/>
      <c r="Q417" s="181" t="n"/>
      <c r="R417" s="181" t="n"/>
      <c r="S417" s="181" t="n"/>
      <c r="T417" s="181" t="n"/>
      <c r="U417" s="181" t="n"/>
      <c r="V417" s="181" t="n"/>
      <c r="W417" s="181" t="n"/>
      <c r="X417" s="181" t="n"/>
      <c r="Y417" s="181" t="n"/>
      <c r="Z417" s="181" t="n"/>
      <c r="AA417" s="181" t="n"/>
      <c r="AB417" s="181" t="n"/>
    </row>
    <row r="418">
      <c r="A418" s="181" t="n"/>
      <c r="B418" s="181" t="n"/>
      <c r="C418" s="171" t="n"/>
      <c r="D418" s="171" t="n"/>
      <c r="E418" s="181" t="n"/>
      <c r="F418" s="204" t="n"/>
      <c r="G418" s="204" t="n"/>
      <c r="H418" s="204" t="n"/>
      <c r="I418" s="204" t="n"/>
      <c r="J418" s="204" t="n"/>
      <c r="K418" s="181" t="n"/>
      <c r="L418" s="181" t="n"/>
      <c r="M418" s="181" t="n"/>
      <c r="N418" s="181" t="n"/>
      <c r="O418" s="181" t="n"/>
      <c r="P418" s="181" t="n"/>
      <c r="Q418" s="181" t="n"/>
      <c r="R418" s="181" t="n"/>
      <c r="S418" s="181" t="n"/>
      <c r="T418" s="181" t="n"/>
      <c r="U418" s="181" t="n"/>
      <c r="V418" s="181" t="n"/>
      <c r="W418" s="181" t="n"/>
      <c r="X418" s="181" t="n"/>
      <c r="Y418" s="181" t="n"/>
      <c r="Z418" s="181" t="n"/>
      <c r="AA418" s="181" t="n"/>
      <c r="AB418" s="181" t="n"/>
    </row>
    <row r="419">
      <c r="A419" s="171" t="n"/>
      <c r="B419" s="171" t="n"/>
      <c r="C419" s="171" t="n"/>
      <c r="D419" s="171" t="n"/>
      <c r="E419" s="181" t="n"/>
      <c r="F419" s="204" t="n"/>
      <c r="G419" s="204" t="n"/>
      <c r="H419" s="204" t="n"/>
      <c r="I419" s="204" t="n"/>
      <c r="J419" s="204" t="n"/>
      <c r="K419" s="181" t="n"/>
      <c r="L419" s="181" t="n"/>
      <c r="M419" s="181" t="n"/>
      <c r="N419" s="181" t="n"/>
      <c r="O419" s="181" t="n"/>
      <c r="P419" s="181" t="n"/>
      <c r="Q419" s="181" t="n"/>
      <c r="R419" s="181" t="n"/>
      <c r="S419" s="181" t="n"/>
      <c r="T419" s="181" t="n"/>
      <c r="U419" s="181" t="n"/>
      <c r="V419" s="181" t="n"/>
      <c r="W419" s="181" t="n"/>
      <c r="X419" s="181" t="n"/>
      <c r="Y419" s="181" t="n"/>
      <c r="Z419" s="181" t="n"/>
      <c r="AA419" s="181" t="n"/>
      <c r="AB419" s="181" t="n"/>
    </row>
    <row r="420">
      <c r="A420" s="171" t="n"/>
      <c r="B420" s="171" t="n"/>
      <c r="C420" s="171" t="n"/>
      <c r="D420" s="171" t="n"/>
      <c r="E420" s="181" t="n"/>
      <c r="F420" s="204" t="n"/>
      <c r="G420" s="204" t="n"/>
      <c r="H420" s="204" t="n"/>
      <c r="I420" s="204" t="n"/>
      <c r="J420" s="204" t="n"/>
      <c r="K420" s="181" t="n"/>
      <c r="L420" s="181" t="n"/>
      <c r="M420" s="181" t="n"/>
      <c r="N420" s="181" t="n"/>
      <c r="O420" s="181" t="n"/>
      <c r="P420" s="181" t="n"/>
      <c r="Q420" s="181" t="n"/>
      <c r="R420" s="181" t="n"/>
      <c r="S420" s="181" t="n"/>
      <c r="T420" s="181" t="n"/>
      <c r="U420" s="181" t="n"/>
      <c r="V420" s="181" t="n"/>
      <c r="W420" s="181" t="n"/>
      <c r="X420" s="181" t="n"/>
      <c r="Y420" s="181" t="n"/>
      <c r="Z420" s="181" t="n"/>
      <c r="AA420" s="181" t="n"/>
      <c r="AB420" s="181" t="n"/>
    </row>
    <row r="421">
      <c r="A421" s="171" t="n"/>
      <c r="B421" s="171" t="n"/>
      <c r="C421" s="171" t="n"/>
      <c r="D421" s="171" t="n"/>
      <c r="E421" s="181" t="n"/>
      <c r="F421" s="204" t="n"/>
      <c r="G421" s="204" t="n"/>
      <c r="H421" s="204" t="n"/>
      <c r="I421" s="204" t="n"/>
      <c r="J421" s="204" t="n"/>
      <c r="K421" s="181" t="n"/>
      <c r="L421" s="181" t="n"/>
      <c r="M421" s="181" t="n"/>
      <c r="N421" s="181" t="n"/>
      <c r="O421" s="181" t="n"/>
      <c r="P421" s="181" t="n"/>
      <c r="Q421" s="181" t="n"/>
      <c r="R421" s="181" t="n"/>
      <c r="S421" s="181" t="n"/>
      <c r="T421" s="181" t="n"/>
      <c r="U421" s="181" t="n"/>
      <c r="V421" s="181" t="n"/>
      <c r="W421" s="181" t="n"/>
      <c r="X421" s="181" t="n"/>
      <c r="Y421" s="181" t="n"/>
      <c r="Z421" s="181" t="n"/>
      <c r="AA421" s="181" t="n"/>
      <c r="AB421" s="181" t="n"/>
    </row>
    <row r="422">
      <c r="A422" s="171" t="n"/>
      <c r="B422" s="171" t="n"/>
      <c r="C422" s="171" t="n"/>
      <c r="D422" s="171" t="n"/>
      <c r="E422" s="181" t="n"/>
      <c r="F422" s="204" t="n"/>
      <c r="G422" s="204" t="n"/>
      <c r="H422" s="204" t="n"/>
      <c r="I422" s="204" t="n"/>
      <c r="J422" s="204" t="n"/>
      <c r="K422" s="18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4" t="n"/>
      <c r="G423" s="204" t="n"/>
      <c r="H423" s="204" t="n"/>
      <c r="I423" s="204" t="n"/>
      <c r="J423" s="204" t="n"/>
      <c r="K423" s="18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4" t="n"/>
      <c r="G424" s="204" t="n"/>
      <c r="H424" s="204" t="n"/>
      <c r="I424" s="204" t="n"/>
      <c r="J424" s="204" t="n"/>
      <c r="K424" s="18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4" t="n"/>
      <c r="G425" s="204" t="n"/>
      <c r="H425" s="204" t="n"/>
      <c r="I425" s="204" t="n"/>
      <c r="J425" s="204" t="n"/>
      <c r="K425" s="18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4" t="n"/>
      <c r="G426" s="204" t="n"/>
      <c r="H426" s="204" t="n"/>
      <c r="I426" s="204" t="n"/>
      <c r="J426" s="204" t="n"/>
      <c r="K426" s="18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4" t="n"/>
      <c r="G427" s="204" t="n"/>
      <c r="H427" s="204" t="n"/>
      <c r="I427" s="204" t="n"/>
      <c r="J427" s="204" t="n"/>
      <c r="K427" s="18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4" t="n"/>
      <c r="G428" s="204" t="n"/>
      <c r="H428" s="204" t="n"/>
      <c r="I428" s="204" t="n"/>
      <c r="J428" s="204" t="n"/>
      <c r="K428" s="18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4" t="n"/>
      <c r="G429" s="204" t="n"/>
      <c r="H429" s="204" t="n"/>
      <c r="I429" s="204" t="n"/>
      <c r="J429" s="204" t="n"/>
      <c r="K429" s="18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4" t="n"/>
      <c r="G430" s="204" t="n"/>
      <c r="H430" s="204" t="n"/>
      <c r="I430" s="204" t="n"/>
      <c r="J430" s="204" t="n"/>
      <c r="K430" s="18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4" t="n"/>
      <c r="G431" s="204" t="n"/>
      <c r="H431" s="204" t="n"/>
      <c r="I431" s="204" t="n"/>
      <c r="J431" s="204" t="n"/>
      <c r="K431" s="18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4" t="n"/>
      <c r="G432" s="204" t="n"/>
      <c r="H432" s="204" t="n"/>
      <c r="I432" s="204" t="n"/>
      <c r="J432" s="204" t="n"/>
      <c r="K432" s="18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4" t="n"/>
      <c r="G433" s="204" t="n"/>
      <c r="H433" s="204" t="n"/>
      <c r="I433" s="204" t="n"/>
      <c r="J433" s="204" t="n"/>
      <c r="K433" s="18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4" t="n"/>
      <c r="G434" s="204" t="n"/>
      <c r="H434" s="204" t="n"/>
      <c r="I434" s="204" t="n"/>
      <c r="J434" s="204" t="n"/>
      <c r="K434" s="18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4" t="n"/>
      <c r="G435" s="204" t="n"/>
      <c r="H435" s="204" t="n"/>
      <c r="I435" s="204" t="n"/>
      <c r="J435" s="204" t="n"/>
      <c r="K435" s="18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4" t="n"/>
      <c r="G436" s="204" t="n"/>
      <c r="H436" s="204" t="n"/>
      <c r="I436" s="204" t="n"/>
      <c r="J436" s="204" t="n"/>
      <c r="K436" s="18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4" t="n"/>
      <c r="G437" s="204" t="n"/>
      <c r="H437" s="204" t="n"/>
      <c r="I437" s="204" t="n"/>
      <c r="J437" s="204" t="n"/>
      <c r="K437" s="18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4" t="n"/>
      <c r="G438" s="204" t="n"/>
      <c r="H438" s="204" t="n"/>
      <c r="I438" s="204" t="n"/>
      <c r="J438" s="204" t="n"/>
      <c r="K438" s="18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4" t="n"/>
      <c r="G439" s="204" t="n"/>
      <c r="H439" s="204" t="n"/>
      <c r="I439" s="204" t="n"/>
      <c r="J439" s="204" t="n"/>
      <c r="K439" s="18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4" t="n"/>
      <c r="G440" s="204" t="n"/>
      <c r="H440" s="204" t="n"/>
      <c r="I440" s="204" t="n"/>
      <c r="J440" s="204" t="n"/>
      <c r="K440" s="18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4" t="n"/>
      <c r="G441" s="204" t="n"/>
      <c r="H441" s="204" t="n"/>
      <c r="I441" s="204" t="n"/>
      <c r="J441" s="204" t="n"/>
      <c r="K441" s="18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4" t="n"/>
      <c r="G442" s="204" t="n"/>
      <c r="H442" s="204" t="n"/>
      <c r="I442" s="204" t="n"/>
      <c r="J442" s="204" t="n"/>
      <c r="K442" s="18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4" t="n"/>
      <c r="G443" s="204" t="n"/>
      <c r="H443" s="204" t="n"/>
      <c r="I443" s="204" t="n"/>
      <c r="J443" s="204" t="n"/>
      <c r="K443" s="18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4" t="n"/>
      <c r="G444" s="204" t="n"/>
      <c r="H444" s="204" t="n"/>
      <c r="I444" s="204" t="n"/>
      <c r="J444" s="204" t="n"/>
      <c r="K444" s="18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4" t="n"/>
      <c r="G445" s="204" t="n"/>
      <c r="H445" s="204" t="n"/>
      <c r="I445" s="204" t="n"/>
      <c r="J445" s="204" t="n"/>
      <c r="K445" s="18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4" t="n"/>
      <c r="G446" s="204" t="n"/>
      <c r="H446" s="204" t="n"/>
      <c r="I446" s="204" t="n"/>
      <c r="J446" s="204" t="n"/>
      <c r="K446" s="18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4" t="n"/>
      <c r="G447" s="204" t="n"/>
      <c r="H447" s="204" t="n"/>
      <c r="I447" s="204" t="n"/>
      <c r="J447" s="204" t="n"/>
      <c r="K447" s="18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4" t="n"/>
      <c r="G448" s="204" t="n"/>
      <c r="H448" s="204" t="n"/>
      <c r="I448" s="204" t="n"/>
      <c r="J448" s="204" t="n"/>
      <c r="K448" s="18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4" t="n"/>
      <c r="G449" s="204" t="n"/>
      <c r="H449" s="204" t="n"/>
      <c r="I449" s="204" t="n"/>
      <c r="J449" s="204" t="n"/>
      <c r="K449" s="18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4" t="n"/>
      <c r="G450" s="204" t="n"/>
      <c r="H450" s="204" t="n"/>
      <c r="I450" s="204" t="n"/>
      <c r="J450" s="204" t="n"/>
      <c r="K450" s="18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4" t="n"/>
      <c r="G451" s="204" t="n"/>
      <c r="H451" s="204" t="n"/>
      <c r="I451" s="204" t="n"/>
      <c r="J451" s="204" t="n"/>
      <c r="K451" s="18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4" t="n"/>
      <c r="G452" s="204" t="n"/>
      <c r="H452" s="204" t="n"/>
      <c r="I452" s="204" t="n"/>
      <c r="J452" s="204" t="n"/>
      <c r="K452" s="18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4" t="n"/>
      <c r="G453" s="204" t="n"/>
      <c r="H453" s="204" t="n"/>
      <c r="I453" s="204" t="n"/>
      <c r="J453" s="204" t="n"/>
      <c r="K453" s="18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4" t="n"/>
      <c r="G454" s="204" t="n"/>
      <c r="H454" s="204" t="n"/>
      <c r="I454" s="204" t="n"/>
      <c r="J454" s="204" t="n"/>
      <c r="K454" s="18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4" t="n"/>
      <c r="G455" s="204" t="n"/>
      <c r="H455" s="204" t="n"/>
      <c r="I455" s="204" t="n"/>
      <c r="J455" s="204" t="n"/>
      <c r="K455" s="18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4" t="n"/>
      <c r="G456" s="204" t="n"/>
      <c r="H456" s="204" t="n"/>
      <c r="I456" s="204" t="n"/>
      <c r="J456" s="204" t="n"/>
      <c r="K456" s="18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4" t="n"/>
      <c r="G457" s="204" t="n"/>
      <c r="H457" s="204" t="n"/>
      <c r="I457" s="204" t="n"/>
      <c r="J457" s="204" t="n"/>
      <c r="K457" s="18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4" t="n"/>
      <c r="G458" s="204" t="n"/>
      <c r="H458" s="204" t="n"/>
      <c r="I458" s="204" t="n"/>
      <c r="J458" s="204" t="n"/>
      <c r="K458" s="18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4" t="n"/>
      <c r="G459" s="204" t="n"/>
      <c r="H459" s="204" t="n"/>
      <c r="I459" s="204" t="n"/>
      <c r="J459" s="204" t="n"/>
      <c r="K459" s="18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4" t="n"/>
      <c r="G460" s="204" t="n"/>
      <c r="H460" s="204" t="n"/>
      <c r="I460" s="204" t="n"/>
      <c r="J460" s="204" t="n"/>
      <c r="K460" s="18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4" t="n"/>
      <c r="G461" s="204" t="n"/>
      <c r="H461" s="204" t="n"/>
      <c r="I461" s="204" t="n"/>
      <c r="J461" s="204" t="n"/>
      <c r="K461" s="18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4" t="n"/>
      <c r="G462" s="204" t="n"/>
      <c r="H462" s="204" t="n"/>
      <c r="I462" s="204" t="n"/>
      <c r="J462" s="204" t="n"/>
      <c r="K462" s="18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4" t="n"/>
      <c r="G463" s="204" t="n"/>
      <c r="H463" s="204" t="n"/>
      <c r="I463" s="204" t="n"/>
      <c r="J463" s="204" t="n"/>
      <c r="K463" s="18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4" t="n"/>
      <c r="G464" s="204" t="n"/>
      <c r="H464" s="204" t="n"/>
      <c r="I464" s="204" t="n"/>
      <c r="J464" s="204" t="n"/>
      <c r="K464" s="18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4" t="n"/>
      <c r="G465" s="204" t="n"/>
      <c r="H465" s="204" t="n"/>
      <c r="I465" s="204" t="n"/>
      <c r="J465" s="204" t="n"/>
      <c r="K465" s="18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4" t="n"/>
      <c r="G466" s="204" t="n"/>
      <c r="H466" s="204" t="n"/>
      <c r="I466" s="204" t="n"/>
      <c r="J466" s="204" t="n"/>
      <c r="K466" s="18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4" t="n"/>
      <c r="G467" s="204" t="n"/>
      <c r="H467" s="204" t="n"/>
      <c r="I467" s="204" t="n"/>
      <c r="J467" s="204" t="n"/>
      <c r="K467" s="18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4" t="n"/>
      <c r="G468" s="204" t="n"/>
      <c r="H468" s="204" t="n"/>
      <c r="I468" s="204" t="n"/>
      <c r="J468" s="204" t="n"/>
      <c r="K468" s="18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4" t="n"/>
      <c r="G469" s="204" t="n"/>
      <c r="H469" s="204" t="n"/>
      <c r="I469" s="204" t="n"/>
      <c r="J469" s="204" t="n"/>
      <c r="K469" s="18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4" t="n"/>
      <c r="G470" s="204" t="n"/>
      <c r="H470" s="204" t="n"/>
      <c r="I470" s="204" t="n"/>
      <c r="J470" s="204" t="n"/>
      <c r="K470" s="18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4" t="n"/>
      <c r="G471" s="204" t="n"/>
      <c r="H471" s="204" t="n"/>
      <c r="I471" s="204" t="n"/>
      <c r="J471" s="204" t="n"/>
      <c r="K471" s="18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4" t="n"/>
      <c r="G472" s="204" t="n"/>
      <c r="H472" s="204" t="n"/>
      <c r="I472" s="204" t="n"/>
      <c r="J472" s="204" t="n"/>
      <c r="K472" s="18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4" t="n"/>
      <c r="G473" s="204" t="n"/>
      <c r="H473" s="204" t="n"/>
      <c r="I473" s="204" t="n"/>
      <c r="J473" s="204" t="n"/>
      <c r="K473" s="18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4" t="n"/>
      <c r="G474" s="204" t="n"/>
      <c r="H474" s="204" t="n"/>
      <c r="I474" s="204" t="n"/>
      <c r="J474" s="204" t="n"/>
      <c r="K474" s="18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4" t="n"/>
      <c r="G475" s="204" t="n"/>
      <c r="H475" s="204" t="n"/>
      <c r="I475" s="204" t="n"/>
      <c r="J475" s="204" t="n"/>
      <c r="K475" s="18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4" t="n"/>
      <c r="G476" s="204" t="n"/>
      <c r="H476" s="204" t="n"/>
      <c r="I476" s="204" t="n"/>
      <c r="J476" s="204" t="n"/>
      <c r="K476" s="18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4" t="n"/>
      <c r="G477" s="204" t="n"/>
      <c r="H477" s="204" t="n"/>
      <c r="I477" s="204" t="n"/>
      <c r="J477" s="204" t="n"/>
      <c r="K477" s="18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4" t="n"/>
      <c r="G478" s="204" t="n"/>
      <c r="H478" s="204" t="n"/>
      <c r="I478" s="204" t="n"/>
      <c r="J478" s="204" t="n"/>
      <c r="K478" s="18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4" t="n"/>
      <c r="G479" s="204" t="n"/>
      <c r="H479" s="204" t="n"/>
      <c r="I479" s="204" t="n"/>
      <c r="J479" s="204" t="n"/>
      <c r="K479" s="18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4" t="n"/>
      <c r="G480" s="204" t="n"/>
      <c r="H480" s="204" t="n"/>
      <c r="I480" s="204" t="n"/>
      <c r="J480" s="204" t="n"/>
      <c r="K480" s="18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4" t="n"/>
      <c r="G481" s="204" t="n"/>
      <c r="H481" s="204" t="n"/>
      <c r="I481" s="204" t="n"/>
      <c r="J481" s="204" t="n"/>
      <c r="K481" s="18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4" t="n"/>
      <c r="G482" s="204" t="n"/>
      <c r="H482" s="204" t="n"/>
      <c r="I482" s="204" t="n"/>
      <c r="J482" s="204" t="n"/>
      <c r="K482" s="18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4" t="n"/>
      <c r="G483" s="204" t="n"/>
      <c r="H483" s="204" t="n"/>
      <c r="I483" s="204" t="n"/>
      <c r="J483" s="204" t="n"/>
      <c r="K483" s="18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4" t="n"/>
      <c r="G484" s="204" t="n"/>
      <c r="H484" s="204" t="n"/>
      <c r="I484" s="204" t="n"/>
      <c r="J484" s="204" t="n"/>
      <c r="K484" s="18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4" t="n"/>
      <c r="G485" s="204" t="n"/>
      <c r="H485" s="204" t="n"/>
      <c r="I485" s="204" t="n"/>
      <c r="J485" s="204" t="n"/>
      <c r="K485" s="18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4" t="n"/>
      <c r="G486" s="204" t="n"/>
      <c r="H486" s="204" t="n"/>
      <c r="I486" s="204" t="n"/>
      <c r="J486" s="204" t="n"/>
      <c r="K486" s="18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4" t="n"/>
      <c r="G487" s="204" t="n"/>
      <c r="H487" s="204" t="n"/>
      <c r="I487" s="204" t="n"/>
      <c r="J487" s="204" t="n"/>
      <c r="K487" s="18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4" t="n"/>
      <c r="G488" s="204" t="n"/>
      <c r="H488" s="204" t="n"/>
      <c r="I488" s="204" t="n"/>
      <c r="J488" s="204" t="n"/>
      <c r="K488" s="18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4" t="n"/>
      <c r="G489" s="204" t="n"/>
      <c r="H489" s="204" t="n"/>
      <c r="I489" s="204" t="n"/>
      <c r="J489" s="204" t="n"/>
      <c r="K489" s="18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4" t="n"/>
      <c r="G490" s="204" t="n"/>
      <c r="H490" s="204" t="n"/>
      <c r="I490" s="204" t="n"/>
      <c r="J490" s="204" t="n"/>
      <c r="K490" s="18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4" t="n"/>
      <c r="G491" s="204" t="n"/>
      <c r="H491" s="204" t="n"/>
      <c r="I491" s="204" t="n"/>
      <c r="J491" s="204" t="n"/>
      <c r="K491" s="18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4" t="n"/>
      <c r="G492" s="204" t="n"/>
      <c r="H492" s="204" t="n"/>
      <c r="I492" s="204" t="n"/>
      <c r="J492" s="204" t="n"/>
      <c r="K492" s="18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4" t="n"/>
      <c r="G493" s="204" t="n"/>
      <c r="H493" s="204" t="n"/>
      <c r="I493" s="204" t="n"/>
      <c r="J493" s="204" t="n"/>
      <c r="K493" s="18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4" t="n"/>
      <c r="G494" s="204" t="n"/>
      <c r="H494" s="204" t="n"/>
      <c r="I494" s="204" t="n"/>
      <c r="J494" s="204" t="n"/>
      <c r="K494" s="18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4" t="n"/>
      <c r="G495" s="204" t="n"/>
      <c r="H495" s="204" t="n"/>
      <c r="I495" s="204" t="n"/>
      <c r="J495" s="204" t="n"/>
      <c r="K495" s="18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4" t="n"/>
      <c r="G496" s="204" t="n"/>
      <c r="H496" s="204" t="n"/>
      <c r="I496" s="204" t="n"/>
      <c r="J496" s="204" t="n"/>
      <c r="K496" s="18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4" t="n"/>
      <c r="G497" s="204" t="n"/>
      <c r="H497" s="204" t="n"/>
      <c r="I497" s="204" t="n"/>
      <c r="J497" s="204" t="n"/>
      <c r="K497" s="18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4" t="n"/>
      <c r="G498" s="204" t="n"/>
      <c r="H498" s="204" t="n"/>
      <c r="I498" s="204" t="n"/>
      <c r="J498" s="204" t="n"/>
      <c r="K498" s="18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4" t="n"/>
      <c r="G499" s="204" t="n"/>
      <c r="H499" s="204" t="n"/>
      <c r="I499" s="204" t="n"/>
      <c r="J499" s="204" t="n"/>
      <c r="K499" s="18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4" t="n"/>
      <c r="G500" s="204" t="n"/>
      <c r="H500" s="204" t="n"/>
      <c r="I500" s="204" t="n"/>
      <c r="J500" s="204" t="n"/>
      <c r="K500" s="18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4" t="n"/>
      <c r="G501" s="204" t="n"/>
      <c r="H501" s="204" t="n"/>
      <c r="I501" s="204" t="n"/>
      <c r="J501" s="204" t="n"/>
      <c r="K501" s="18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4" t="n"/>
      <c r="G502" s="204" t="n"/>
      <c r="H502" s="204" t="n"/>
      <c r="I502" s="204" t="n"/>
      <c r="J502" s="204" t="n"/>
      <c r="K502" s="18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4" t="n"/>
      <c r="G503" s="204" t="n"/>
      <c r="H503" s="204" t="n"/>
      <c r="I503" s="204" t="n"/>
      <c r="J503" s="204" t="n"/>
      <c r="K503" s="18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4" t="n"/>
      <c r="G504" s="204" t="n"/>
      <c r="H504" s="204" t="n"/>
      <c r="I504" s="204" t="n"/>
      <c r="J504" s="204" t="n"/>
      <c r="K504" s="18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4" t="n"/>
      <c r="G505" s="204" t="n"/>
      <c r="H505" s="204" t="n"/>
      <c r="I505" s="204" t="n"/>
      <c r="J505" s="204" t="n"/>
      <c r="K505" s="18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4" t="n"/>
      <c r="G506" s="204" t="n"/>
      <c r="H506" s="204" t="n"/>
      <c r="I506" s="204" t="n"/>
      <c r="J506" s="204" t="n"/>
      <c r="K506" s="18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4" t="n"/>
      <c r="G507" s="204" t="n"/>
      <c r="H507" s="204" t="n"/>
      <c r="I507" s="204" t="n"/>
      <c r="J507" s="204" t="n"/>
      <c r="K507" s="18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4" t="n"/>
      <c r="G508" s="204" t="n"/>
      <c r="H508" s="204" t="n"/>
      <c r="I508" s="204" t="n"/>
      <c r="J508" s="204" t="n"/>
      <c r="K508" s="18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4" t="n"/>
      <c r="G509" s="204" t="n"/>
      <c r="H509" s="204" t="n"/>
      <c r="I509" s="204" t="n"/>
      <c r="J509" s="204" t="n"/>
      <c r="K509" s="18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4" t="n"/>
      <c r="G510" s="204" t="n"/>
      <c r="H510" s="204" t="n"/>
      <c r="I510" s="204" t="n"/>
      <c r="J510" s="204" t="n"/>
      <c r="K510" s="18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4" t="n"/>
      <c r="G511" s="204" t="n"/>
      <c r="H511" s="204" t="n"/>
      <c r="I511" s="204" t="n"/>
      <c r="J511" s="204" t="n"/>
      <c r="K511" s="18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4" t="n"/>
      <c r="G512" s="204" t="n"/>
      <c r="H512" s="204" t="n"/>
      <c r="I512" s="204" t="n"/>
      <c r="J512" s="204" t="n"/>
      <c r="K512" s="18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4" t="n"/>
      <c r="G513" s="204" t="n"/>
      <c r="H513" s="204" t="n"/>
      <c r="I513" s="204" t="n"/>
      <c r="J513" s="204" t="n"/>
      <c r="K513" s="18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4" t="n"/>
      <c r="G514" s="204" t="n"/>
      <c r="H514" s="204" t="n"/>
      <c r="I514" s="204" t="n"/>
      <c r="J514" s="204" t="n"/>
      <c r="K514" s="18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4" t="n"/>
      <c r="G515" s="204" t="n"/>
      <c r="H515" s="204" t="n"/>
      <c r="I515" s="204" t="n"/>
      <c r="J515" s="204" t="n"/>
      <c r="K515" s="18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4" t="n"/>
      <c r="G516" s="204" t="n"/>
      <c r="H516" s="204" t="n"/>
      <c r="I516" s="204" t="n"/>
      <c r="J516" s="204" t="n"/>
      <c r="K516" s="18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4" t="n"/>
      <c r="G517" s="204" t="n"/>
      <c r="H517" s="204" t="n"/>
      <c r="I517" s="204" t="n"/>
      <c r="J517" s="204" t="n"/>
      <c r="K517" s="18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4" t="n"/>
      <c r="G518" s="204" t="n"/>
      <c r="H518" s="204" t="n"/>
      <c r="I518" s="204" t="n"/>
      <c r="J518" s="204" t="n"/>
      <c r="K518" s="18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4" t="n"/>
      <c r="G519" s="204" t="n"/>
      <c r="H519" s="204" t="n"/>
      <c r="I519" s="204" t="n"/>
      <c r="J519" s="204" t="n"/>
      <c r="K519" s="18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4" t="n"/>
      <c r="G520" s="204" t="n"/>
      <c r="H520" s="204" t="n"/>
      <c r="I520" s="204" t="n"/>
      <c r="J520" s="204" t="n"/>
      <c r="K520" s="18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4" t="n"/>
      <c r="G521" s="204" t="n"/>
      <c r="H521" s="204" t="n"/>
      <c r="I521" s="204" t="n"/>
      <c r="J521" s="204" t="n"/>
      <c r="K521" s="18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4" t="n"/>
      <c r="G522" s="204" t="n"/>
      <c r="H522" s="204" t="n"/>
      <c r="I522" s="204" t="n"/>
      <c r="J522" s="204" t="n"/>
      <c r="K522" s="18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4" t="n"/>
      <c r="G523" s="204" t="n"/>
      <c r="H523" s="204" t="n"/>
      <c r="I523" s="204" t="n"/>
      <c r="J523" s="204" t="n"/>
      <c r="K523" s="18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4" t="n"/>
      <c r="G524" s="204" t="n"/>
      <c r="H524" s="204" t="n"/>
      <c r="I524" s="204" t="n"/>
      <c r="J524" s="204" t="n"/>
      <c r="K524" s="18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4" t="n"/>
      <c r="G525" s="204" t="n"/>
      <c r="H525" s="204" t="n"/>
      <c r="I525" s="204" t="n"/>
      <c r="J525" s="204" t="n"/>
      <c r="K525" s="18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4" t="n"/>
      <c r="G526" s="204" t="n"/>
      <c r="H526" s="204" t="n"/>
      <c r="I526" s="204" t="n"/>
      <c r="J526" s="204" t="n"/>
      <c r="K526" s="18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4" t="n"/>
      <c r="G527" s="204" t="n"/>
      <c r="H527" s="204" t="n"/>
      <c r="I527" s="204" t="n"/>
      <c r="J527" s="204" t="n"/>
      <c r="K527" s="18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4" t="n"/>
      <c r="G528" s="204" t="n"/>
      <c r="H528" s="204" t="n"/>
      <c r="I528" s="204" t="n"/>
      <c r="J528" s="204" t="n"/>
      <c r="K528" s="18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4" t="n"/>
      <c r="G529" s="204" t="n"/>
      <c r="H529" s="204" t="n"/>
      <c r="I529" s="204" t="n"/>
      <c r="J529" s="204" t="n"/>
      <c r="K529" s="18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4" t="n"/>
      <c r="G530" s="204" t="n"/>
      <c r="H530" s="204" t="n"/>
      <c r="I530" s="204" t="n"/>
      <c r="J530" s="204" t="n"/>
      <c r="K530" s="18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4" t="n"/>
      <c r="G531" s="204" t="n"/>
      <c r="H531" s="204" t="n"/>
      <c r="I531" s="204" t="n"/>
      <c r="J531" s="204" t="n"/>
      <c r="K531" s="18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4" t="n"/>
      <c r="G532" s="204" t="n"/>
      <c r="H532" s="204" t="n"/>
      <c r="I532" s="204" t="n"/>
      <c r="J532" s="204" t="n"/>
      <c r="K532" s="18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4" t="n"/>
      <c r="G533" s="204" t="n"/>
      <c r="H533" s="204" t="n"/>
      <c r="I533" s="204" t="n"/>
      <c r="J533" s="204" t="n"/>
      <c r="K533" s="18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4" t="n"/>
      <c r="G534" s="204" t="n"/>
      <c r="H534" s="204" t="n"/>
      <c r="I534" s="204" t="n"/>
      <c r="J534" s="204" t="n"/>
      <c r="K534" s="18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4" t="n"/>
      <c r="G535" s="204" t="n"/>
      <c r="H535" s="204" t="n"/>
      <c r="I535" s="204" t="n"/>
      <c r="J535" s="204" t="n"/>
      <c r="K535" s="18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4" t="n"/>
      <c r="G536" s="204" t="n"/>
      <c r="H536" s="204" t="n"/>
      <c r="I536" s="204" t="n"/>
      <c r="J536" s="204" t="n"/>
      <c r="K536" s="18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4" t="n"/>
      <c r="G537" s="204" t="n"/>
      <c r="H537" s="204" t="n"/>
      <c r="I537" s="204" t="n"/>
      <c r="J537" s="204" t="n"/>
      <c r="K537" s="18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4" t="n"/>
      <c r="G538" s="204" t="n"/>
      <c r="H538" s="204" t="n"/>
      <c r="I538" s="204" t="n"/>
      <c r="J538" s="204" t="n"/>
      <c r="K538" s="18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4" t="n"/>
      <c r="G539" s="204" t="n"/>
      <c r="H539" s="204" t="n"/>
      <c r="I539" s="204" t="n"/>
      <c r="J539" s="204" t="n"/>
      <c r="K539" s="18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4" t="n"/>
      <c r="G540" s="204" t="n"/>
      <c r="H540" s="204" t="n"/>
      <c r="I540" s="204" t="n"/>
      <c r="J540" s="204" t="n"/>
      <c r="K540" s="18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4" t="n"/>
      <c r="G541" s="204" t="n"/>
      <c r="H541" s="204" t="n"/>
      <c r="I541" s="204" t="n"/>
      <c r="J541" s="204" t="n"/>
      <c r="K541" s="18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4" t="n"/>
      <c r="G542" s="204" t="n"/>
      <c r="H542" s="204" t="n"/>
      <c r="I542" s="204" t="n"/>
      <c r="J542" s="204" t="n"/>
      <c r="K542" s="18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4" t="n"/>
      <c r="G543" s="204" t="n"/>
      <c r="H543" s="204" t="n"/>
      <c r="I543" s="204" t="n"/>
      <c r="J543" s="204" t="n"/>
      <c r="K543" s="18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4" t="n"/>
      <c r="G544" s="204" t="n"/>
      <c r="H544" s="204" t="n"/>
      <c r="I544" s="204" t="n"/>
      <c r="J544" s="204" t="n"/>
      <c r="K544" s="18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4" t="n"/>
      <c r="G545" s="204" t="n"/>
      <c r="H545" s="204" t="n"/>
      <c r="I545" s="204" t="n"/>
      <c r="J545" s="204" t="n"/>
      <c r="K545" s="18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4" t="n"/>
      <c r="G546" s="204" t="n"/>
      <c r="H546" s="204" t="n"/>
      <c r="I546" s="204" t="n"/>
      <c r="J546" s="204" t="n"/>
      <c r="K546" s="18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4" t="n"/>
      <c r="G547" s="204" t="n"/>
      <c r="H547" s="204" t="n"/>
      <c r="I547" s="204" t="n"/>
      <c r="J547" s="204" t="n"/>
      <c r="K547" s="18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4" t="n"/>
      <c r="G548" s="204" t="n"/>
      <c r="H548" s="204" t="n"/>
      <c r="I548" s="204" t="n"/>
      <c r="J548" s="204" t="n"/>
      <c r="K548" s="18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4" t="n"/>
      <c r="G549" s="204" t="n"/>
      <c r="H549" s="204" t="n"/>
      <c r="I549" s="204" t="n"/>
      <c r="J549" s="204" t="n"/>
      <c r="K549" s="18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4" t="n"/>
      <c r="G550" s="204" t="n"/>
      <c r="H550" s="204" t="n"/>
      <c r="I550" s="204" t="n"/>
      <c r="J550" s="204" t="n"/>
      <c r="K550" s="18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4" t="n"/>
      <c r="G551" s="204" t="n"/>
      <c r="H551" s="204" t="n"/>
      <c r="I551" s="204" t="n"/>
      <c r="J551" s="204" t="n"/>
      <c r="K551" s="18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4" t="n"/>
      <c r="G552" s="204" t="n"/>
      <c r="H552" s="204" t="n"/>
      <c r="I552" s="204" t="n"/>
      <c r="J552" s="204" t="n"/>
      <c r="K552" s="18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4" t="n"/>
      <c r="G553" s="204" t="n"/>
      <c r="H553" s="204" t="n"/>
      <c r="I553" s="204" t="n"/>
      <c r="J553" s="204" t="n"/>
      <c r="K553" s="18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4" t="n"/>
      <c r="G554" s="204" t="n"/>
      <c r="H554" s="204" t="n"/>
      <c r="I554" s="204" t="n"/>
      <c r="J554" s="204" t="n"/>
      <c r="K554" s="18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4" t="n"/>
      <c r="G555" s="204" t="n"/>
      <c r="H555" s="204" t="n"/>
      <c r="I555" s="204" t="n"/>
      <c r="J555" s="204" t="n"/>
      <c r="K555" s="18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4" t="n"/>
      <c r="G556" s="204" t="n"/>
      <c r="H556" s="204" t="n"/>
      <c r="I556" s="204" t="n"/>
      <c r="J556" s="204" t="n"/>
      <c r="K556" s="18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4" t="n"/>
      <c r="G557" s="204" t="n"/>
      <c r="H557" s="204" t="n"/>
      <c r="I557" s="204" t="n"/>
      <c r="J557" s="204" t="n"/>
      <c r="K557" s="18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4" t="n"/>
      <c r="G558" s="204" t="n"/>
      <c r="H558" s="204" t="n"/>
      <c r="I558" s="204" t="n"/>
      <c r="J558" s="204" t="n"/>
      <c r="K558" s="18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4" t="n"/>
      <c r="G559" s="204" t="n"/>
      <c r="H559" s="204" t="n"/>
      <c r="I559" s="204" t="n"/>
      <c r="J559" s="204" t="n"/>
      <c r="K559" s="18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4" t="n"/>
      <c r="G560" s="204" t="n"/>
      <c r="H560" s="204" t="n"/>
      <c r="I560" s="204" t="n"/>
      <c r="J560" s="204" t="n"/>
      <c r="K560" s="18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4" t="n"/>
      <c r="G561" s="204" t="n"/>
      <c r="H561" s="204" t="n"/>
      <c r="I561" s="204" t="n"/>
      <c r="J561" s="204" t="n"/>
      <c r="K561" s="18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4" t="n"/>
      <c r="G562" s="204" t="n"/>
      <c r="H562" s="204" t="n"/>
      <c r="I562" s="204" t="n"/>
      <c r="J562" s="204" t="n"/>
      <c r="K562" s="18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4" t="n"/>
      <c r="G563" s="204" t="n"/>
      <c r="H563" s="204" t="n"/>
      <c r="I563" s="204" t="n"/>
      <c r="J563" s="204" t="n"/>
      <c r="K563" s="18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4" t="n"/>
      <c r="G564" s="204" t="n"/>
      <c r="H564" s="204" t="n"/>
      <c r="I564" s="204" t="n"/>
      <c r="J564" s="204" t="n"/>
      <c r="K564" s="18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4" t="n"/>
      <c r="G565" s="204" t="n"/>
      <c r="H565" s="204" t="n"/>
      <c r="I565" s="204" t="n"/>
      <c r="J565" s="204" t="n"/>
      <c r="K565" s="18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4" t="n"/>
      <c r="G566" s="204" t="n"/>
      <c r="H566" s="204" t="n"/>
      <c r="I566" s="204" t="n"/>
      <c r="J566" s="204" t="n"/>
      <c r="K566" s="18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4" t="n"/>
      <c r="G567" s="204" t="n"/>
      <c r="H567" s="204" t="n"/>
      <c r="I567" s="204" t="n"/>
      <c r="J567" s="204" t="n"/>
      <c r="K567" s="18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4" t="n"/>
      <c r="G568" s="204" t="n"/>
      <c r="H568" s="204" t="n"/>
      <c r="I568" s="204" t="n"/>
      <c r="J568" s="204" t="n"/>
      <c r="K568" s="18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4" t="n"/>
      <c r="G569" s="204" t="n"/>
      <c r="H569" s="204" t="n"/>
      <c r="I569" s="204" t="n"/>
      <c r="J569" s="204" t="n"/>
      <c r="K569" s="18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4" t="n"/>
      <c r="G570" s="204" t="n"/>
      <c r="H570" s="204" t="n"/>
      <c r="I570" s="204" t="n"/>
      <c r="J570" s="204" t="n"/>
      <c r="K570" s="18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4" t="n"/>
      <c r="G571" s="204" t="n"/>
      <c r="H571" s="204" t="n"/>
      <c r="I571" s="204" t="n"/>
      <c r="J571" s="204" t="n"/>
      <c r="K571" s="18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4" t="n"/>
      <c r="G572" s="204" t="n"/>
      <c r="H572" s="204" t="n"/>
      <c r="I572" s="204" t="n"/>
      <c r="J572" s="204" t="n"/>
      <c r="K572" s="18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4" t="n"/>
      <c r="G573" s="204" t="n"/>
      <c r="H573" s="204" t="n"/>
      <c r="I573" s="204" t="n"/>
      <c r="J573" s="204" t="n"/>
      <c r="K573" s="18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4" t="n"/>
      <c r="G574" s="204" t="n"/>
      <c r="H574" s="204" t="n"/>
      <c r="I574" s="204" t="n"/>
      <c r="J574" s="204" t="n"/>
      <c r="K574" s="18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4" t="n"/>
      <c r="G575" s="204" t="n"/>
      <c r="H575" s="204" t="n"/>
      <c r="I575" s="204" t="n"/>
      <c r="J575" s="204" t="n"/>
      <c r="K575" s="18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4" t="n"/>
      <c r="G576" s="204" t="n"/>
      <c r="H576" s="204" t="n"/>
      <c r="I576" s="204" t="n"/>
      <c r="J576" s="204" t="n"/>
      <c r="K576" s="18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4" t="n"/>
      <c r="G577" s="204" t="n"/>
      <c r="H577" s="204" t="n"/>
      <c r="I577" s="204" t="n"/>
      <c r="J577" s="204" t="n"/>
      <c r="K577" s="18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4" t="n"/>
      <c r="G578" s="204" t="n"/>
      <c r="H578" s="204" t="n"/>
      <c r="I578" s="204" t="n"/>
      <c r="J578" s="204" t="n"/>
      <c r="K578" s="18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4" t="n"/>
      <c r="G579" s="204" t="n"/>
      <c r="H579" s="204" t="n"/>
      <c r="I579" s="204" t="n"/>
      <c r="J579" s="204" t="n"/>
      <c r="K579" s="18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4" t="n"/>
      <c r="G580" s="204" t="n"/>
      <c r="H580" s="204" t="n"/>
      <c r="I580" s="204" t="n"/>
      <c r="J580" s="204" t="n"/>
      <c r="K580" s="18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4" t="n"/>
      <c r="G581" s="204" t="n"/>
      <c r="H581" s="204" t="n"/>
      <c r="I581" s="204" t="n"/>
      <c r="J581" s="204" t="n"/>
      <c r="K581" s="18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4" t="n"/>
      <c r="G582" s="204" t="n"/>
      <c r="H582" s="204" t="n"/>
      <c r="I582" s="204" t="n"/>
      <c r="J582" s="204" t="n"/>
      <c r="K582" s="18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4" t="n"/>
      <c r="G583" s="204" t="n"/>
      <c r="H583" s="204" t="n"/>
      <c r="I583" s="204" t="n"/>
      <c r="J583" s="204" t="n"/>
      <c r="K583" s="18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4" t="n"/>
      <c r="G584" s="204" t="n"/>
      <c r="H584" s="204" t="n"/>
      <c r="I584" s="204" t="n"/>
      <c r="J584" s="204" t="n"/>
      <c r="K584" s="18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4" t="n"/>
      <c r="G585" s="204" t="n"/>
      <c r="H585" s="204" t="n"/>
      <c r="I585" s="204" t="n"/>
      <c r="J585" s="204" t="n"/>
      <c r="K585" s="18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4" t="n"/>
      <c r="G586" s="204" t="n"/>
      <c r="H586" s="204" t="n"/>
      <c r="I586" s="204" t="n"/>
      <c r="J586" s="204" t="n"/>
      <c r="K586" s="18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4" t="n"/>
      <c r="G587" s="204" t="n"/>
      <c r="H587" s="204" t="n"/>
      <c r="I587" s="204" t="n"/>
      <c r="J587" s="204" t="n"/>
      <c r="K587" s="18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4" t="n"/>
      <c r="G588" s="204" t="n"/>
      <c r="H588" s="204" t="n"/>
      <c r="I588" s="204" t="n"/>
      <c r="J588" s="204" t="n"/>
      <c r="K588" s="18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4" t="n"/>
      <c r="G589" s="204" t="n"/>
      <c r="H589" s="204" t="n"/>
      <c r="I589" s="204" t="n"/>
      <c r="J589" s="204" t="n"/>
      <c r="K589" s="18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4" t="n"/>
      <c r="G590" s="204" t="n"/>
      <c r="H590" s="204" t="n"/>
      <c r="I590" s="204" t="n"/>
      <c r="J590" s="204" t="n"/>
      <c r="K590" s="18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4" t="n"/>
      <c r="G591" s="204" t="n"/>
      <c r="H591" s="204" t="n"/>
      <c r="I591" s="204" t="n"/>
      <c r="J591" s="204" t="n"/>
      <c r="K591" s="18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4" t="n"/>
      <c r="G592" s="204" t="n"/>
      <c r="H592" s="204" t="n"/>
      <c r="I592" s="204" t="n"/>
      <c r="J592" s="204" t="n"/>
      <c r="K592" s="18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4" t="n"/>
      <c r="G593" s="204" t="n"/>
      <c r="H593" s="204" t="n"/>
      <c r="I593" s="204" t="n"/>
      <c r="J593" s="204" t="n"/>
      <c r="K593" s="18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4" t="n"/>
      <c r="G594" s="204" t="n"/>
      <c r="H594" s="204" t="n"/>
      <c r="I594" s="204" t="n"/>
      <c r="J594" s="204" t="n"/>
      <c r="K594" s="18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4" t="n"/>
      <c r="G595" s="204" t="n"/>
      <c r="H595" s="204" t="n"/>
      <c r="I595" s="204" t="n"/>
      <c r="J595" s="204" t="n"/>
      <c r="K595" s="18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4" t="n"/>
      <c r="G596" s="204" t="n"/>
      <c r="H596" s="204" t="n"/>
      <c r="I596" s="204" t="n"/>
      <c r="J596" s="204" t="n"/>
      <c r="K596" s="18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4" t="n"/>
      <c r="G597" s="204" t="n"/>
      <c r="H597" s="204" t="n"/>
      <c r="I597" s="204" t="n"/>
      <c r="J597" s="204" t="n"/>
      <c r="K597" s="18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4" t="n"/>
      <c r="G598" s="204" t="n"/>
      <c r="H598" s="204" t="n"/>
      <c r="I598" s="204" t="n"/>
      <c r="J598" s="204" t="n"/>
      <c r="K598" s="18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4" t="n"/>
      <c r="G599" s="204" t="n"/>
      <c r="H599" s="204" t="n"/>
      <c r="I599" s="204" t="n"/>
      <c r="J599" s="204" t="n"/>
      <c r="K599" s="18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4" t="n"/>
      <c r="G600" s="204" t="n"/>
      <c r="H600" s="204" t="n"/>
      <c r="I600" s="204" t="n"/>
      <c r="J600" s="204" t="n"/>
      <c r="K600" s="18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4" t="n"/>
      <c r="G601" s="204" t="n"/>
      <c r="H601" s="204" t="n"/>
      <c r="I601" s="204" t="n"/>
      <c r="J601" s="204" t="n"/>
      <c r="K601" s="18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4" t="n"/>
      <c r="G602" s="204" t="n"/>
      <c r="H602" s="204" t="n"/>
      <c r="I602" s="204" t="n"/>
      <c r="J602" s="204" t="n"/>
      <c r="K602" s="18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4" t="n"/>
      <c r="G603" s="204" t="n"/>
      <c r="H603" s="204" t="n"/>
      <c r="I603" s="204" t="n"/>
      <c r="J603" s="204" t="n"/>
      <c r="K603" s="18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4" t="n"/>
      <c r="G604" s="204" t="n"/>
      <c r="H604" s="204" t="n"/>
      <c r="I604" s="204" t="n"/>
      <c r="J604" s="204" t="n"/>
      <c r="K604" s="18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4" t="n"/>
      <c r="G605" s="204" t="n"/>
      <c r="H605" s="204" t="n"/>
      <c r="I605" s="204" t="n"/>
      <c r="J605" s="204" t="n"/>
      <c r="K605" s="18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4" t="n"/>
      <c r="G606" s="204" t="n"/>
      <c r="H606" s="204" t="n"/>
      <c r="I606" s="204" t="n"/>
      <c r="J606" s="204" t="n"/>
      <c r="K606" s="18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4" t="n"/>
      <c r="G607" s="204" t="n"/>
      <c r="H607" s="204" t="n"/>
      <c r="I607" s="204" t="n"/>
      <c r="J607" s="204" t="n"/>
      <c r="K607" s="18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4" t="n"/>
      <c r="G608" s="204" t="n"/>
      <c r="H608" s="204" t="n"/>
      <c r="I608" s="204" t="n"/>
      <c r="J608" s="204" t="n"/>
      <c r="K608" s="18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4" t="n"/>
      <c r="G609" s="204" t="n"/>
      <c r="H609" s="204" t="n"/>
      <c r="I609" s="204" t="n"/>
      <c r="J609" s="204" t="n"/>
      <c r="K609" s="18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4" t="n"/>
      <c r="G610" s="204" t="n"/>
      <c r="H610" s="204" t="n"/>
      <c r="I610" s="204" t="n"/>
      <c r="J610" s="204" t="n"/>
      <c r="K610" s="18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4" t="n"/>
      <c r="G611" s="204" t="n"/>
      <c r="H611" s="204" t="n"/>
      <c r="I611" s="204" t="n"/>
      <c r="J611" s="204" t="n"/>
      <c r="K611" s="18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4" t="n"/>
      <c r="G612" s="204" t="n"/>
      <c r="H612" s="204" t="n"/>
      <c r="I612" s="204" t="n"/>
      <c r="J612" s="204" t="n"/>
      <c r="K612" s="18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4" t="n"/>
      <c r="G613" s="204" t="n"/>
      <c r="H613" s="204" t="n"/>
      <c r="I613" s="204" t="n"/>
      <c r="J613" s="204" t="n"/>
      <c r="K613" s="18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4" t="n"/>
      <c r="G614" s="204" t="n"/>
      <c r="H614" s="204" t="n"/>
      <c r="I614" s="204" t="n"/>
      <c r="J614" s="204" t="n"/>
      <c r="K614" s="18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4" t="n"/>
      <c r="G615" s="204" t="n"/>
      <c r="H615" s="204" t="n"/>
      <c r="I615" s="204" t="n"/>
      <c r="J615" s="204" t="n"/>
      <c r="K615" s="18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4" t="n"/>
      <c r="G616" s="204" t="n"/>
      <c r="H616" s="204" t="n"/>
      <c r="I616" s="204" t="n"/>
      <c r="J616" s="204" t="n"/>
      <c r="K616" s="18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4" t="n"/>
      <c r="G617" s="204" t="n"/>
      <c r="H617" s="204" t="n"/>
      <c r="I617" s="204" t="n"/>
      <c r="J617" s="204" t="n"/>
      <c r="K617" s="18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4" t="n"/>
      <c r="G618" s="204" t="n"/>
      <c r="H618" s="204" t="n"/>
      <c r="I618" s="204" t="n"/>
      <c r="J618" s="204" t="n"/>
      <c r="K618" s="18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4" t="n"/>
      <c r="G619" s="204" t="n"/>
      <c r="H619" s="204" t="n"/>
      <c r="I619" s="204" t="n"/>
      <c r="J619" s="204" t="n"/>
      <c r="K619" s="18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4" t="n"/>
      <c r="G620" s="204" t="n"/>
      <c r="H620" s="204" t="n"/>
      <c r="I620" s="204" t="n"/>
      <c r="J620" s="204" t="n"/>
      <c r="K620" s="18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4" t="n"/>
      <c r="G621" s="204" t="n"/>
      <c r="H621" s="204" t="n"/>
      <c r="I621" s="204" t="n"/>
      <c r="J621" s="204" t="n"/>
      <c r="K621" s="18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4" t="n"/>
      <c r="G622" s="204" t="n"/>
      <c r="H622" s="204" t="n"/>
      <c r="I622" s="204" t="n"/>
      <c r="J622" s="204" t="n"/>
      <c r="K622" s="18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4" t="n"/>
      <c r="G623" s="204" t="n"/>
      <c r="H623" s="204" t="n"/>
      <c r="I623" s="204" t="n"/>
      <c r="J623" s="204" t="n"/>
      <c r="K623" s="18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4" t="n"/>
      <c r="G624" s="204" t="n"/>
      <c r="H624" s="204" t="n"/>
      <c r="I624" s="204" t="n"/>
      <c r="J624" s="204" t="n"/>
      <c r="K624" s="18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4" t="n"/>
      <c r="G625" s="204" t="n"/>
      <c r="H625" s="204" t="n"/>
      <c r="I625" s="204" t="n"/>
      <c r="J625" s="204" t="n"/>
      <c r="K625" s="18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4" t="n"/>
      <c r="G626" s="204" t="n"/>
      <c r="H626" s="204" t="n"/>
      <c r="I626" s="204" t="n"/>
      <c r="J626" s="204" t="n"/>
      <c r="K626" s="18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4" t="n"/>
      <c r="G627" s="204" t="n"/>
      <c r="H627" s="204" t="n"/>
      <c r="I627" s="204" t="n"/>
      <c r="J627" s="204" t="n"/>
      <c r="K627" s="18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4" t="n"/>
      <c r="G628" s="204" t="n"/>
      <c r="H628" s="204" t="n"/>
      <c r="I628" s="204" t="n"/>
      <c r="J628" s="204" t="n"/>
      <c r="K628" s="18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4" t="n"/>
      <c r="G629" s="204" t="n"/>
      <c r="H629" s="204" t="n"/>
      <c r="I629" s="204" t="n"/>
      <c r="J629" s="204" t="n"/>
      <c r="K629" s="18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4" t="n"/>
      <c r="G630" s="204" t="n"/>
      <c r="H630" s="204" t="n"/>
      <c r="I630" s="204" t="n"/>
      <c r="J630" s="204" t="n"/>
      <c r="K630" s="18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4" t="n"/>
      <c r="G631" s="204" t="n"/>
      <c r="H631" s="204" t="n"/>
      <c r="I631" s="204" t="n"/>
      <c r="J631" s="204" t="n"/>
      <c r="K631" s="18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4" t="n"/>
      <c r="G632" s="204" t="n"/>
      <c r="H632" s="204" t="n"/>
      <c r="I632" s="204" t="n"/>
      <c r="J632" s="204" t="n"/>
      <c r="K632" s="18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4" t="n"/>
      <c r="G633" s="204" t="n"/>
      <c r="H633" s="204" t="n"/>
      <c r="I633" s="204" t="n"/>
      <c r="J633" s="204" t="n"/>
      <c r="K633" s="18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4" t="n"/>
      <c r="G634" s="204" t="n"/>
      <c r="H634" s="204" t="n"/>
      <c r="I634" s="204" t="n"/>
      <c r="J634" s="204" t="n"/>
      <c r="K634" s="18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4" t="n"/>
      <c r="G635" s="204" t="n"/>
      <c r="H635" s="204" t="n"/>
      <c r="I635" s="204" t="n"/>
      <c r="J635" s="204" t="n"/>
      <c r="K635" s="18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4" t="n"/>
      <c r="G636" s="204" t="n"/>
      <c r="H636" s="204" t="n"/>
      <c r="I636" s="204" t="n"/>
      <c r="J636" s="204" t="n"/>
      <c r="K636" s="18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4" t="n"/>
      <c r="G637" s="204" t="n"/>
      <c r="H637" s="204" t="n"/>
      <c r="I637" s="204" t="n"/>
      <c r="J637" s="204" t="n"/>
      <c r="K637" s="18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4" t="n"/>
      <c r="G638" s="204" t="n"/>
      <c r="H638" s="204" t="n"/>
      <c r="I638" s="204" t="n"/>
      <c r="J638" s="204" t="n"/>
      <c r="K638" s="18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4" t="n"/>
      <c r="G639" s="204" t="n"/>
      <c r="H639" s="204" t="n"/>
      <c r="I639" s="204" t="n"/>
      <c r="J639" s="204" t="n"/>
      <c r="K639" s="18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4" t="n"/>
      <c r="G640" s="204" t="n"/>
      <c r="H640" s="204" t="n"/>
      <c r="I640" s="204" t="n"/>
      <c r="J640" s="204" t="n"/>
      <c r="K640" s="18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4" t="n"/>
      <c r="G641" s="204" t="n"/>
      <c r="H641" s="204" t="n"/>
      <c r="I641" s="204" t="n"/>
      <c r="J641" s="204" t="n"/>
      <c r="K641" s="18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4" t="n"/>
      <c r="G642" s="204" t="n"/>
      <c r="H642" s="204" t="n"/>
      <c r="I642" s="204" t="n"/>
      <c r="J642" s="204" t="n"/>
      <c r="K642" s="18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4" t="n"/>
      <c r="G643" s="204" t="n"/>
      <c r="H643" s="204" t="n"/>
      <c r="I643" s="204" t="n"/>
      <c r="J643" s="204" t="n"/>
      <c r="K643" s="18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4" t="n"/>
      <c r="G644" s="204" t="n"/>
      <c r="H644" s="204" t="n"/>
      <c r="I644" s="204" t="n"/>
      <c r="J644" s="204" t="n"/>
      <c r="K644" s="18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4" t="n"/>
      <c r="G645" s="204" t="n"/>
      <c r="H645" s="204" t="n"/>
      <c r="I645" s="204" t="n"/>
      <c r="J645" s="204" t="n"/>
      <c r="K645" s="18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4" t="n"/>
      <c r="G646" s="204" t="n"/>
      <c r="H646" s="204" t="n"/>
      <c r="I646" s="204" t="n"/>
      <c r="J646" s="204" t="n"/>
      <c r="K646" s="18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4" t="n"/>
      <c r="G647" s="204" t="n"/>
      <c r="H647" s="204" t="n"/>
      <c r="I647" s="204" t="n"/>
      <c r="J647" s="204" t="n"/>
      <c r="K647" s="18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4" t="n"/>
      <c r="G648" s="204" t="n"/>
      <c r="H648" s="204" t="n"/>
      <c r="I648" s="204" t="n"/>
      <c r="J648" s="204" t="n"/>
      <c r="K648" s="18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4" t="n"/>
      <c r="G649" s="204" t="n"/>
      <c r="H649" s="204" t="n"/>
      <c r="I649" s="204" t="n"/>
      <c r="J649" s="204" t="n"/>
      <c r="K649" s="18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4" t="n"/>
      <c r="G650" s="204" t="n"/>
      <c r="H650" s="204" t="n"/>
      <c r="I650" s="204" t="n"/>
      <c r="J650" s="204" t="n"/>
      <c r="K650" s="18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4" t="n"/>
      <c r="G651" s="204" t="n"/>
      <c r="H651" s="204" t="n"/>
      <c r="I651" s="204" t="n"/>
      <c r="J651" s="204" t="n"/>
      <c r="K651" s="18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4" t="n"/>
      <c r="G652" s="204" t="n"/>
      <c r="H652" s="204" t="n"/>
      <c r="I652" s="204" t="n"/>
      <c r="J652" s="204" t="n"/>
      <c r="K652" s="18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4" t="n"/>
      <c r="G653" s="204" t="n"/>
      <c r="H653" s="204" t="n"/>
      <c r="I653" s="204" t="n"/>
      <c r="J653" s="204" t="n"/>
      <c r="K653" s="18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4" t="n"/>
      <c r="G654" s="204" t="n"/>
      <c r="H654" s="204" t="n"/>
      <c r="I654" s="204" t="n"/>
      <c r="J654" s="204" t="n"/>
      <c r="K654" s="18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4" t="n"/>
      <c r="G655" s="204" t="n"/>
      <c r="H655" s="204" t="n"/>
      <c r="I655" s="204" t="n"/>
      <c r="J655" s="204" t="n"/>
      <c r="K655" s="18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4" t="n"/>
      <c r="G656" s="204" t="n"/>
      <c r="H656" s="204" t="n"/>
      <c r="I656" s="204" t="n"/>
      <c r="J656" s="204" t="n"/>
      <c r="K656" s="18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4" t="n"/>
      <c r="G657" s="204" t="n"/>
      <c r="H657" s="204" t="n"/>
      <c r="I657" s="204" t="n"/>
      <c r="J657" s="204" t="n"/>
      <c r="K657" s="18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4" t="n"/>
      <c r="G658" s="204" t="n"/>
      <c r="H658" s="204" t="n"/>
      <c r="I658" s="204" t="n"/>
      <c r="J658" s="204" t="n"/>
      <c r="K658" s="18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4" t="n"/>
      <c r="G659" s="204" t="n"/>
      <c r="H659" s="204" t="n"/>
      <c r="I659" s="204" t="n"/>
      <c r="J659" s="204" t="n"/>
      <c r="K659" s="18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4" t="n"/>
      <c r="G660" s="204" t="n"/>
      <c r="H660" s="204" t="n"/>
      <c r="I660" s="204" t="n"/>
      <c r="J660" s="204" t="n"/>
      <c r="K660" s="18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4" t="n"/>
      <c r="G661" s="204" t="n"/>
      <c r="H661" s="204" t="n"/>
      <c r="I661" s="204" t="n"/>
      <c r="J661" s="204" t="n"/>
      <c r="K661" s="18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4" t="n"/>
      <c r="G662" s="204" t="n"/>
      <c r="H662" s="204" t="n"/>
      <c r="I662" s="204" t="n"/>
      <c r="J662" s="204" t="n"/>
      <c r="K662" s="18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4" t="n"/>
      <c r="G663" s="204" t="n"/>
      <c r="H663" s="204" t="n"/>
      <c r="I663" s="204" t="n"/>
      <c r="J663" s="204" t="n"/>
      <c r="K663" s="18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4" t="n"/>
      <c r="G664" s="204" t="n"/>
      <c r="H664" s="204" t="n"/>
      <c r="I664" s="204" t="n"/>
      <c r="J664" s="204" t="n"/>
      <c r="K664" s="18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4" t="n"/>
      <c r="G665" s="204" t="n"/>
      <c r="H665" s="204" t="n"/>
      <c r="I665" s="204" t="n"/>
      <c r="J665" s="204" t="n"/>
      <c r="K665" s="18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4" t="n"/>
      <c r="G666" s="204" t="n"/>
      <c r="H666" s="204" t="n"/>
      <c r="I666" s="204" t="n"/>
      <c r="J666" s="204" t="n"/>
      <c r="K666" s="18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4" t="n"/>
      <c r="G667" s="204" t="n"/>
      <c r="H667" s="204" t="n"/>
      <c r="I667" s="204" t="n"/>
      <c r="J667" s="204" t="n"/>
      <c r="K667" s="18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4" t="n"/>
      <c r="G668" s="204" t="n"/>
      <c r="H668" s="204" t="n"/>
      <c r="I668" s="204" t="n"/>
      <c r="J668" s="204" t="n"/>
      <c r="K668" s="18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4" t="n"/>
      <c r="G669" s="204" t="n"/>
      <c r="H669" s="204" t="n"/>
      <c r="I669" s="204" t="n"/>
      <c r="J669" s="204" t="n"/>
      <c r="K669" s="18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4" t="n"/>
      <c r="G670" s="204" t="n"/>
      <c r="H670" s="204" t="n"/>
      <c r="I670" s="204" t="n"/>
      <c r="J670" s="204" t="n"/>
      <c r="K670" s="18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4" t="n"/>
      <c r="G671" s="204" t="n"/>
      <c r="H671" s="204" t="n"/>
      <c r="I671" s="204" t="n"/>
      <c r="J671" s="204" t="n"/>
      <c r="K671" s="18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4" t="n"/>
      <c r="G672" s="204" t="n"/>
      <c r="H672" s="204" t="n"/>
      <c r="I672" s="204" t="n"/>
      <c r="J672" s="204" t="n"/>
      <c r="K672" s="18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4" t="n"/>
      <c r="G673" s="204" t="n"/>
      <c r="H673" s="204" t="n"/>
      <c r="I673" s="204" t="n"/>
      <c r="J673" s="204" t="n"/>
      <c r="K673" s="18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4" t="n"/>
      <c r="G674" s="204" t="n"/>
      <c r="H674" s="204" t="n"/>
      <c r="I674" s="204" t="n"/>
      <c r="J674" s="204" t="n"/>
      <c r="K674" s="18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4" t="n"/>
      <c r="G675" s="204" t="n"/>
      <c r="H675" s="204" t="n"/>
      <c r="I675" s="204" t="n"/>
      <c r="J675" s="204" t="n"/>
      <c r="K675" s="18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4" t="n"/>
      <c r="G676" s="204" t="n"/>
      <c r="H676" s="204" t="n"/>
      <c r="I676" s="204" t="n"/>
      <c r="J676" s="204" t="n"/>
      <c r="K676" s="18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4" t="n"/>
      <c r="G677" s="204" t="n"/>
      <c r="H677" s="204" t="n"/>
      <c r="I677" s="204" t="n"/>
      <c r="J677" s="204" t="n"/>
      <c r="K677" s="18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4" t="n"/>
      <c r="G678" s="204" t="n"/>
      <c r="H678" s="204" t="n"/>
      <c r="I678" s="204" t="n"/>
      <c r="J678" s="204" t="n"/>
      <c r="K678" s="18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4" t="n"/>
      <c r="G679" s="204" t="n"/>
      <c r="H679" s="204" t="n"/>
      <c r="I679" s="204" t="n"/>
      <c r="J679" s="204" t="n"/>
      <c r="K679" s="18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4" t="n"/>
      <c r="G680" s="204" t="n"/>
      <c r="H680" s="204" t="n"/>
      <c r="I680" s="204" t="n"/>
      <c r="J680" s="204" t="n"/>
      <c r="K680" s="18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4" t="n"/>
      <c r="G681" s="204" t="n"/>
      <c r="H681" s="204" t="n"/>
      <c r="I681" s="204" t="n"/>
      <c r="J681" s="204" t="n"/>
      <c r="K681" s="18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4" t="n"/>
      <c r="G682" s="204" t="n"/>
      <c r="H682" s="204" t="n"/>
      <c r="I682" s="204" t="n"/>
      <c r="J682" s="204" t="n"/>
      <c r="K682" s="18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4" t="n"/>
      <c r="G683" s="204" t="n"/>
      <c r="H683" s="204" t="n"/>
      <c r="I683" s="204" t="n"/>
      <c r="J683" s="204" t="n"/>
      <c r="K683" s="18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4" t="n"/>
      <c r="G684" s="204" t="n"/>
      <c r="H684" s="204" t="n"/>
      <c r="I684" s="204" t="n"/>
      <c r="J684" s="204" t="n"/>
      <c r="K684" s="18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4" t="n"/>
      <c r="G685" s="204" t="n"/>
      <c r="H685" s="204" t="n"/>
      <c r="I685" s="204" t="n"/>
      <c r="J685" s="204" t="n"/>
      <c r="K685" s="18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4" t="n"/>
      <c r="G686" s="204" t="n"/>
      <c r="H686" s="204" t="n"/>
      <c r="I686" s="204" t="n"/>
      <c r="J686" s="204" t="n"/>
      <c r="K686" s="18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4" t="n"/>
      <c r="G687" s="204" t="n"/>
      <c r="H687" s="204" t="n"/>
      <c r="I687" s="204" t="n"/>
      <c r="J687" s="204" t="n"/>
      <c r="K687" s="18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4" t="n"/>
      <c r="G688" s="204" t="n"/>
      <c r="H688" s="204" t="n"/>
      <c r="I688" s="204" t="n"/>
      <c r="J688" s="204" t="n"/>
      <c r="K688" s="18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4" t="n"/>
      <c r="G689" s="204" t="n"/>
      <c r="H689" s="204" t="n"/>
      <c r="I689" s="204" t="n"/>
      <c r="J689" s="204" t="n"/>
      <c r="K689" s="18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4" t="n"/>
      <c r="G690" s="204" t="n"/>
      <c r="H690" s="204" t="n"/>
      <c r="I690" s="204" t="n"/>
      <c r="J690" s="204" t="n"/>
      <c r="K690" s="18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4" t="n"/>
      <c r="G691" s="204" t="n"/>
      <c r="H691" s="204" t="n"/>
      <c r="I691" s="204" t="n"/>
      <c r="J691" s="204" t="n"/>
      <c r="K691" s="18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4" t="n"/>
      <c r="G692" s="204" t="n"/>
      <c r="H692" s="204" t="n"/>
      <c r="I692" s="204" t="n"/>
      <c r="J692" s="204" t="n"/>
      <c r="K692" s="18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4" t="n"/>
      <c r="G693" s="204" t="n"/>
      <c r="H693" s="204" t="n"/>
      <c r="I693" s="204" t="n"/>
      <c r="J693" s="204" t="n"/>
      <c r="K693" s="18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4" t="n"/>
      <c r="G694" s="204" t="n"/>
      <c r="H694" s="204" t="n"/>
      <c r="I694" s="204" t="n"/>
      <c r="J694" s="204" t="n"/>
      <c r="K694" s="18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4" t="n"/>
      <c r="G695" s="204" t="n"/>
      <c r="H695" s="204" t="n"/>
      <c r="I695" s="204" t="n"/>
      <c r="J695" s="204" t="n"/>
      <c r="K695" s="18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4" t="n"/>
      <c r="G696" s="204" t="n"/>
      <c r="H696" s="204" t="n"/>
      <c r="I696" s="204" t="n"/>
      <c r="J696" s="204" t="n"/>
      <c r="K696" s="18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4" t="n"/>
      <c r="G697" s="204" t="n"/>
      <c r="H697" s="204" t="n"/>
      <c r="I697" s="204" t="n"/>
      <c r="J697" s="204" t="n"/>
      <c r="K697" s="18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4" t="n"/>
      <c r="G698" s="204" t="n"/>
      <c r="H698" s="204" t="n"/>
      <c r="I698" s="204" t="n"/>
      <c r="J698" s="204" t="n"/>
      <c r="K698" s="18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4" t="n"/>
      <c r="G699" s="204" t="n"/>
      <c r="H699" s="204" t="n"/>
      <c r="I699" s="204" t="n"/>
      <c r="J699" s="204" t="n"/>
      <c r="K699" s="18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4" t="n"/>
      <c r="G700" s="204" t="n"/>
      <c r="H700" s="204" t="n"/>
      <c r="I700" s="204" t="n"/>
      <c r="J700" s="204" t="n"/>
      <c r="K700" s="18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4" t="n"/>
      <c r="G701" s="204" t="n"/>
      <c r="H701" s="204" t="n"/>
      <c r="I701" s="204" t="n"/>
      <c r="J701" s="204" t="n"/>
      <c r="K701" s="18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4" t="n"/>
      <c r="G702" s="204" t="n"/>
      <c r="H702" s="204" t="n"/>
      <c r="I702" s="204" t="n"/>
      <c r="J702" s="204" t="n"/>
      <c r="K702" s="18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4" t="n"/>
      <c r="G703" s="204" t="n"/>
      <c r="H703" s="204" t="n"/>
      <c r="I703" s="204" t="n"/>
      <c r="J703" s="204" t="n"/>
      <c r="K703" s="18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4" t="n"/>
      <c r="G704" s="204" t="n"/>
      <c r="H704" s="204" t="n"/>
      <c r="I704" s="204" t="n"/>
      <c r="J704" s="204" t="n"/>
      <c r="K704" s="18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4" t="n"/>
      <c r="G705" s="204" t="n"/>
      <c r="H705" s="204" t="n"/>
      <c r="I705" s="204" t="n"/>
      <c r="J705" s="204" t="n"/>
      <c r="K705" s="18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4" t="n"/>
      <c r="G706" s="204" t="n"/>
      <c r="H706" s="204" t="n"/>
      <c r="I706" s="204" t="n"/>
      <c r="J706" s="204" t="n"/>
      <c r="K706" s="18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4" t="n"/>
      <c r="G707" s="204" t="n"/>
      <c r="H707" s="204" t="n"/>
      <c r="I707" s="204" t="n"/>
      <c r="J707" s="204" t="n"/>
      <c r="K707" s="18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4" t="n"/>
      <c r="G708" s="204" t="n"/>
      <c r="H708" s="204" t="n"/>
      <c r="I708" s="204" t="n"/>
      <c r="J708" s="204" t="n"/>
      <c r="K708" s="18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4" t="n"/>
      <c r="G709" s="204" t="n"/>
      <c r="H709" s="204" t="n"/>
      <c r="I709" s="204" t="n"/>
      <c r="J709" s="204" t="n"/>
      <c r="K709" s="18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4" t="n"/>
      <c r="G710" s="204" t="n"/>
      <c r="H710" s="204" t="n"/>
      <c r="I710" s="204" t="n"/>
      <c r="J710" s="204" t="n"/>
      <c r="K710" s="18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4" t="n"/>
      <c r="G711" s="204" t="n"/>
      <c r="H711" s="204" t="n"/>
      <c r="I711" s="204" t="n"/>
      <c r="J711" s="204" t="n"/>
      <c r="K711" s="18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4" t="n"/>
      <c r="G712" s="204" t="n"/>
      <c r="H712" s="204" t="n"/>
      <c r="I712" s="204" t="n"/>
      <c r="J712" s="204" t="n"/>
      <c r="K712" s="18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4" t="n"/>
      <c r="G713" s="204" t="n"/>
      <c r="H713" s="204" t="n"/>
      <c r="I713" s="204" t="n"/>
      <c r="J713" s="204" t="n"/>
      <c r="K713" s="18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4" t="n"/>
      <c r="G714" s="204" t="n"/>
      <c r="H714" s="204" t="n"/>
      <c r="I714" s="204" t="n"/>
      <c r="J714" s="204" t="n"/>
      <c r="K714" s="18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4" t="n"/>
      <c r="G715" s="204" t="n"/>
      <c r="H715" s="204" t="n"/>
      <c r="I715" s="204" t="n"/>
      <c r="J715" s="204" t="n"/>
      <c r="K715" s="18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4" t="n"/>
      <c r="G716" s="204" t="n"/>
      <c r="H716" s="204" t="n"/>
      <c r="I716" s="204" t="n"/>
      <c r="J716" s="204" t="n"/>
      <c r="K716" s="18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4" t="n"/>
      <c r="G717" s="204" t="n"/>
      <c r="H717" s="204" t="n"/>
      <c r="I717" s="204" t="n"/>
      <c r="J717" s="204" t="n"/>
      <c r="K717" s="18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4" t="n"/>
      <c r="G718" s="204" t="n"/>
      <c r="H718" s="204" t="n"/>
      <c r="I718" s="204" t="n"/>
      <c r="J718" s="204" t="n"/>
      <c r="K718" s="18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4" t="n"/>
      <c r="G719" s="204" t="n"/>
      <c r="H719" s="204" t="n"/>
      <c r="I719" s="204" t="n"/>
      <c r="J719" s="204" t="n"/>
      <c r="K719" s="18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4" t="n"/>
      <c r="G720" s="204" t="n"/>
      <c r="H720" s="204" t="n"/>
      <c r="I720" s="204" t="n"/>
      <c r="J720" s="204" t="n"/>
      <c r="K720" s="18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4" t="n"/>
      <c r="G721" s="204" t="n"/>
      <c r="H721" s="204" t="n"/>
      <c r="I721" s="204" t="n"/>
      <c r="J721" s="204" t="n"/>
      <c r="K721" s="18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4" t="n"/>
      <c r="G722" s="204" t="n"/>
      <c r="H722" s="204" t="n"/>
      <c r="I722" s="204" t="n"/>
      <c r="J722" s="204" t="n"/>
      <c r="K722" s="18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4" t="n"/>
      <c r="G723" s="204" t="n"/>
      <c r="H723" s="204" t="n"/>
      <c r="I723" s="204" t="n"/>
      <c r="J723" s="204" t="n"/>
      <c r="K723" s="18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4" t="n"/>
      <c r="G724" s="204" t="n"/>
      <c r="H724" s="204" t="n"/>
      <c r="I724" s="204" t="n"/>
      <c r="J724" s="204" t="n"/>
      <c r="K724" s="18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4" t="n"/>
      <c r="G725" s="204" t="n"/>
      <c r="H725" s="204" t="n"/>
      <c r="I725" s="204" t="n"/>
      <c r="J725" s="204" t="n"/>
      <c r="K725" s="18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4" t="n"/>
      <c r="G726" s="204" t="n"/>
      <c r="H726" s="204" t="n"/>
      <c r="I726" s="204" t="n"/>
      <c r="J726" s="204" t="n"/>
      <c r="K726" s="18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4" t="n"/>
      <c r="G727" s="204" t="n"/>
      <c r="H727" s="204" t="n"/>
      <c r="I727" s="204" t="n"/>
      <c r="J727" s="204" t="n"/>
      <c r="K727" s="18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4" t="n"/>
      <c r="G728" s="204" t="n"/>
      <c r="H728" s="204" t="n"/>
      <c r="I728" s="204" t="n"/>
      <c r="J728" s="204" t="n"/>
      <c r="K728" s="18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4" t="n"/>
      <c r="G729" s="204" t="n"/>
      <c r="H729" s="204" t="n"/>
      <c r="I729" s="204" t="n"/>
      <c r="J729" s="204" t="n"/>
      <c r="K729" s="18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4" t="n"/>
      <c r="G730" s="204" t="n"/>
      <c r="H730" s="204" t="n"/>
      <c r="I730" s="204" t="n"/>
      <c r="J730" s="204" t="n"/>
      <c r="K730" s="18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4" t="n"/>
      <c r="G731" s="204" t="n"/>
      <c r="H731" s="204" t="n"/>
      <c r="I731" s="204" t="n"/>
      <c r="J731" s="204" t="n"/>
      <c r="K731" s="18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4" t="n"/>
      <c r="G732" s="204" t="n"/>
      <c r="H732" s="204" t="n"/>
      <c r="I732" s="204" t="n"/>
      <c r="J732" s="204" t="n"/>
      <c r="K732" s="18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4" t="n"/>
      <c r="G733" s="204" t="n"/>
      <c r="H733" s="204" t="n"/>
      <c r="I733" s="204" t="n"/>
      <c r="J733" s="204" t="n"/>
      <c r="K733" s="18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4" t="n"/>
      <c r="G734" s="204" t="n"/>
      <c r="H734" s="204" t="n"/>
      <c r="I734" s="204" t="n"/>
      <c r="J734" s="204" t="n"/>
      <c r="K734" s="18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4" t="n"/>
      <c r="G735" s="204" t="n"/>
      <c r="H735" s="204" t="n"/>
      <c r="I735" s="204" t="n"/>
      <c r="J735" s="204" t="n"/>
      <c r="K735" s="18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4" t="n"/>
      <c r="G736" s="204" t="n"/>
      <c r="H736" s="204" t="n"/>
      <c r="I736" s="204" t="n"/>
      <c r="J736" s="204" t="n"/>
      <c r="K736" s="18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4" t="n"/>
      <c r="G737" s="204" t="n"/>
      <c r="H737" s="204" t="n"/>
      <c r="I737" s="204" t="n"/>
      <c r="J737" s="204" t="n"/>
      <c r="K737" s="18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4" t="n"/>
      <c r="G738" s="204" t="n"/>
      <c r="H738" s="204" t="n"/>
      <c r="I738" s="204" t="n"/>
      <c r="J738" s="204" t="n"/>
      <c r="K738" s="18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4" t="n"/>
      <c r="G739" s="204" t="n"/>
      <c r="H739" s="204" t="n"/>
      <c r="I739" s="204" t="n"/>
      <c r="J739" s="204" t="n"/>
      <c r="K739" s="18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4" t="n"/>
      <c r="G740" s="204" t="n"/>
      <c r="H740" s="204" t="n"/>
      <c r="I740" s="204" t="n"/>
      <c r="J740" s="204" t="n"/>
      <c r="K740" s="18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4" t="n"/>
      <c r="G741" s="204" t="n"/>
      <c r="H741" s="204" t="n"/>
      <c r="I741" s="204" t="n"/>
      <c r="J741" s="204" t="n"/>
      <c r="K741" s="18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4" t="n"/>
      <c r="G742" s="204" t="n"/>
      <c r="H742" s="204" t="n"/>
      <c r="I742" s="204" t="n"/>
      <c r="J742" s="204" t="n"/>
      <c r="K742" s="18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4" t="n"/>
      <c r="G743" s="204" t="n"/>
      <c r="H743" s="204" t="n"/>
      <c r="I743" s="204" t="n"/>
      <c r="J743" s="204" t="n"/>
      <c r="K743" s="18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4" t="n"/>
      <c r="G744" s="204" t="n"/>
      <c r="H744" s="204" t="n"/>
      <c r="I744" s="204" t="n"/>
      <c r="J744" s="204" t="n"/>
      <c r="K744" s="18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4" t="n"/>
      <c r="G745" s="204" t="n"/>
      <c r="H745" s="204" t="n"/>
      <c r="I745" s="204" t="n"/>
      <c r="J745" s="204" t="n"/>
      <c r="K745" s="18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4" t="n"/>
      <c r="G746" s="204" t="n"/>
      <c r="H746" s="204" t="n"/>
      <c r="I746" s="204" t="n"/>
      <c r="J746" s="204" t="n"/>
      <c r="K746" s="18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4" t="n"/>
      <c r="G747" s="204" t="n"/>
      <c r="H747" s="204" t="n"/>
      <c r="I747" s="204" t="n"/>
      <c r="J747" s="204" t="n"/>
      <c r="K747" s="18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4" t="n"/>
      <c r="G748" s="204" t="n"/>
      <c r="H748" s="204" t="n"/>
      <c r="I748" s="204" t="n"/>
      <c r="J748" s="204" t="n"/>
      <c r="K748" s="18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4" t="n"/>
      <c r="G749" s="204" t="n"/>
      <c r="H749" s="204" t="n"/>
      <c r="I749" s="204" t="n"/>
      <c r="J749" s="204" t="n"/>
      <c r="K749" s="18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4" t="n"/>
      <c r="G750" s="204" t="n"/>
      <c r="H750" s="204" t="n"/>
      <c r="I750" s="204" t="n"/>
      <c r="J750" s="204" t="n"/>
      <c r="K750" s="18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4" t="n"/>
      <c r="G751" s="204" t="n"/>
      <c r="H751" s="204" t="n"/>
      <c r="I751" s="204" t="n"/>
      <c r="J751" s="204" t="n"/>
      <c r="K751" s="18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4" t="n"/>
      <c r="G752" s="204" t="n"/>
      <c r="H752" s="204" t="n"/>
      <c r="I752" s="204" t="n"/>
      <c r="J752" s="204" t="n"/>
      <c r="K752" s="18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4" t="n"/>
      <c r="G753" s="204" t="n"/>
      <c r="H753" s="204" t="n"/>
      <c r="I753" s="204" t="n"/>
      <c r="J753" s="204" t="n"/>
      <c r="K753" s="18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4" t="n"/>
      <c r="G754" s="204" t="n"/>
      <c r="H754" s="204" t="n"/>
      <c r="I754" s="204" t="n"/>
      <c r="J754" s="204" t="n"/>
      <c r="K754" s="18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4" t="n"/>
      <c r="G755" s="204" t="n"/>
      <c r="H755" s="204" t="n"/>
      <c r="I755" s="204" t="n"/>
      <c r="J755" s="204" t="n"/>
      <c r="K755" s="18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4" t="n"/>
      <c r="G756" s="204" t="n"/>
      <c r="H756" s="204" t="n"/>
      <c r="I756" s="204" t="n"/>
      <c r="J756" s="204" t="n"/>
      <c r="K756" s="18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4" t="n"/>
      <c r="G757" s="204" t="n"/>
      <c r="H757" s="204" t="n"/>
      <c r="I757" s="204" t="n"/>
      <c r="J757" s="204" t="n"/>
      <c r="K757" s="18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4" t="n"/>
      <c r="G758" s="204" t="n"/>
      <c r="H758" s="204" t="n"/>
      <c r="I758" s="204" t="n"/>
      <c r="J758" s="204" t="n"/>
      <c r="K758" s="18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4" t="n"/>
      <c r="G759" s="204" t="n"/>
      <c r="H759" s="204" t="n"/>
      <c r="I759" s="204" t="n"/>
      <c r="J759" s="204" t="n"/>
      <c r="K759" s="18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4" t="n"/>
      <c r="G760" s="204" t="n"/>
      <c r="H760" s="204" t="n"/>
      <c r="I760" s="204" t="n"/>
      <c r="J760" s="204" t="n"/>
      <c r="K760" s="18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4" t="n"/>
      <c r="G761" s="204" t="n"/>
      <c r="H761" s="204" t="n"/>
      <c r="I761" s="204" t="n"/>
      <c r="J761" s="204" t="n"/>
      <c r="K761" s="18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4" t="n"/>
      <c r="G762" s="204" t="n"/>
      <c r="H762" s="204" t="n"/>
      <c r="I762" s="204" t="n"/>
      <c r="J762" s="204" t="n"/>
      <c r="K762" s="18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4" t="n"/>
      <c r="G763" s="204" t="n"/>
      <c r="H763" s="204" t="n"/>
      <c r="I763" s="204" t="n"/>
      <c r="J763" s="204" t="n"/>
      <c r="K763" s="18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4" t="n"/>
      <c r="G764" s="204" t="n"/>
      <c r="H764" s="204" t="n"/>
      <c r="I764" s="204" t="n"/>
      <c r="J764" s="204" t="n"/>
      <c r="K764" s="18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4" t="n"/>
      <c r="G765" s="204" t="n"/>
      <c r="H765" s="204" t="n"/>
      <c r="I765" s="204" t="n"/>
      <c r="J765" s="204" t="n"/>
      <c r="K765" s="18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4" t="n"/>
      <c r="G766" s="204" t="n"/>
      <c r="H766" s="204" t="n"/>
      <c r="I766" s="204" t="n"/>
      <c r="J766" s="204" t="n"/>
      <c r="K766" s="18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4" t="n"/>
      <c r="G767" s="204" t="n"/>
      <c r="H767" s="204" t="n"/>
      <c r="I767" s="204" t="n"/>
      <c r="J767" s="204" t="n"/>
      <c r="K767" s="18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4" t="n"/>
      <c r="G768" s="204" t="n"/>
      <c r="H768" s="204" t="n"/>
      <c r="I768" s="204" t="n"/>
      <c r="J768" s="204" t="n"/>
      <c r="K768" s="18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4" t="n"/>
      <c r="G769" s="204" t="n"/>
      <c r="H769" s="204" t="n"/>
      <c r="I769" s="204" t="n"/>
      <c r="J769" s="204" t="n"/>
      <c r="K769" s="18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4" t="n"/>
      <c r="G770" s="204" t="n"/>
      <c r="H770" s="204" t="n"/>
      <c r="I770" s="204" t="n"/>
      <c r="J770" s="204" t="n"/>
      <c r="K770" s="18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8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8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8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8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8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8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8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8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8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8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8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8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8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8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8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8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8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8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8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8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8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8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8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8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8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8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8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8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8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8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8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8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8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8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8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8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8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8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8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8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8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8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8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8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8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8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8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8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8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8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8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8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8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8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8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8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8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8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8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8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8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8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8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8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8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8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8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8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8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8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8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8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8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8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8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8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8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8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8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8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8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8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8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8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8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8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8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8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8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8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8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8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8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8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8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8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8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8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8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8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8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8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8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8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8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8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8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8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8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8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8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8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8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8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8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8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8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8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8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8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8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8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8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8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8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8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8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8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8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8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8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8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8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8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8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8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8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8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8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8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8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8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8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8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8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8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8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8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8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8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8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8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8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8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8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8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8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8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8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8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8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8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8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8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8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8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8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8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8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8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8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8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8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8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8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8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8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8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8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8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8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8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8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8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8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8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8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8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8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8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8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8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8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8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8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8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8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8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8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8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8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8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8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8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8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8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8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8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8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8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8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8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8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8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8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8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8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8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8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8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8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8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8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8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8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8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8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8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8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8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8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8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8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michael janabi</dc:creator>
  <dcterms:created xmlns:dcterms="http://purl.org/dc/terms/" xmlns:xsi="http://www.w3.org/2001/XMLSchema-instance" xsi:type="dcterms:W3CDTF">2023-08-12T15:47:55Z</dcterms:created>
  <dcterms:modified xmlns:dcterms="http://purl.org/dc/terms/" xmlns:xsi="http://www.w3.org/2001/XMLSchema-instance" xsi:type="dcterms:W3CDTF">2026-06-04T07:38:57Z</dcterms:modified>
  <cp:lastModifiedBy>michael janabi</cp:lastModifiedBy>
</cp:coreProperties>
</file>